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swap.gigabyte.intra\2ef\2EF11\AI_NCCU\營收庫存資料\"/>
    </mc:Choice>
  </mc:AlternateContent>
  <xr:revisionPtr revIDLastSave="0" documentId="13_ncr:1_{303B1022-6ED0-4497-A5AE-82C525928A20}" xr6:coauthVersionLast="47" xr6:coauthVersionMax="47" xr10:uidLastSave="{00000000-0000-0000-0000-000000000000}"/>
  <bookViews>
    <workbookView xWindow="-110" yWindow="-110" windowWidth="25820" windowHeight="15500" xr2:uid="{21ED6B64-9A42-499F-8A02-BDC2077A2290}"/>
  </bookViews>
  <sheets>
    <sheet name="工作表1" sheetId="1" r:id="rId1"/>
    <sheet name="對應" sheetId="2" r:id="rId2"/>
  </sheets>
  <definedNames>
    <definedName name="_xlnm._FilterDatabase" localSheetId="0" hidden="1">工作表1!$A$1:$G$1983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2" i="1"/>
</calcChain>
</file>

<file path=xl/sharedStrings.xml><?xml version="1.0" encoding="utf-8"?>
<sst xmlns="http://schemas.openxmlformats.org/spreadsheetml/2006/main" count="7954" uniqueCount="64">
  <si>
    <t>公司類別</t>
  </si>
  <si>
    <t>年度</t>
  </si>
  <si>
    <t>月份</t>
  </si>
  <si>
    <t>合併事業群</t>
  </si>
  <si>
    <t>產品類別名稱</t>
  </si>
  <si>
    <t>實際營收</t>
  </si>
  <si>
    <t>五大產品線</t>
    <phoneticPr fontId="1" type="noConversion"/>
  </si>
  <si>
    <t>HQ</t>
  </si>
  <si>
    <t>網通+技鋼</t>
  </si>
  <si>
    <t>Server</t>
  </si>
  <si>
    <t>通路方案</t>
  </si>
  <si>
    <t>PSU</t>
  </si>
  <si>
    <t>專案電腦</t>
  </si>
  <si>
    <t>DRAM</t>
  </si>
  <si>
    <t>主板</t>
  </si>
  <si>
    <t>_其他</t>
  </si>
  <si>
    <t>Other</t>
  </si>
  <si>
    <t>_筆電+盈嘉</t>
  </si>
  <si>
    <t>NB</t>
  </si>
  <si>
    <t>筆電</t>
  </si>
  <si>
    <t>CPU COOLER</t>
  </si>
  <si>
    <t>VGA</t>
  </si>
  <si>
    <t>顯卡</t>
  </si>
  <si>
    <t>HQ關係人交易</t>
  </si>
  <si>
    <t>MB</t>
  </si>
  <si>
    <t>MM</t>
  </si>
  <si>
    <t>SSD</t>
  </si>
  <si>
    <t>MONITOR</t>
  </si>
  <si>
    <t>螢幕</t>
  </si>
  <si>
    <t>AI TOP</t>
  </si>
  <si>
    <t>Case</t>
  </si>
  <si>
    <t>其他子公司關係人交易</t>
  </si>
  <si>
    <t>百事益</t>
  </si>
  <si>
    <t>技鋼產品</t>
  </si>
  <si>
    <t>百事益</t>
    <phoneticPr fontId="1" type="noConversion"/>
  </si>
  <si>
    <t>QUADRO</t>
  </si>
  <si>
    <t>國內子公司</t>
  </si>
  <si>
    <t>雲城</t>
  </si>
  <si>
    <t>PC System</t>
  </si>
  <si>
    <t>技宸</t>
  </si>
  <si>
    <t>技宸產品</t>
  </si>
  <si>
    <t>國內子公司關係人交易</t>
  </si>
  <si>
    <t>IOT</t>
  </si>
  <si>
    <t>銷售平台</t>
  </si>
  <si>
    <t>RMA平台</t>
  </si>
  <si>
    <t>製造平台</t>
  </si>
  <si>
    <t>會計師調整數</t>
  </si>
  <si>
    <t>BRIX</t>
  </si>
  <si>
    <t>IFERROR(VLOOKUP(H2,對應!A:B,2,0),"")</t>
    <phoneticPr fontId="1" type="noConversion"/>
  </si>
  <si>
    <t>顯卡</t>
    <phoneticPr fontId="1" type="noConversion"/>
  </si>
  <si>
    <t>筆電</t>
    <phoneticPr fontId="1" type="noConversion"/>
  </si>
  <si>
    <t>專案電腦</t>
    <phoneticPr fontId="1" type="noConversion"/>
  </si>
  <si>
    <t>主板</t>
    <phoneticPr fontId="1" type="noConversion"/>
  </si>
  <si>
    <t>新事業群</t>
  </si>
  <si>
    <t>1網通+技鋼</t>
  </si>
  <si>
    <t>2技宸</t>
  </si>
  <si>
    <t>3通路方案</t>
  </si>
  <si>
    <t>筆電+盈嘉</t>
  </si>
  <si>
    <t>4筆電+盈嘉</t>
  </si>
  <si>
    <t>5百事益</t>
  </si>
  <si>
    <t>6雲城</t>
  </si>
  <si>
    <t>其他</t>
  </si>
  <si>
    <t>7製造</t>
  </si>
  <si>
    <t>新事業群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</si>
</sst>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quotePrefix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3958-0B48-4EAE-AADB-503119B8BDD1}">
  <dimension ref="A1:H1983"/>
  <sheetViews>
    <sheetView tabSelected="1" zoomScale="90" zoomScaleNormal="90" workbookViewId="0">
      <pane ySplit="1" topLeftCell="A2" activePane="bottomLeft" state="frozen"/>
      <selection pane="bottomLeft" activeCell="H2" sqref="H2"/>
    </sheetView>
  </sheetViews>
  <sheetFormatPr defaultColWidth="11.81640625" defaultRowHeight="17" x14ac:dyDescent="0.4"/>
  <cols>
    <col min="1" max="1" width="24.26953125" bestFit="1" customWidth="1"/>
    <col min="2" max="3" width="8.08984375" bestFit="1" customWidth="1"/>
    <col min="4" max="4" width="14.6328125" bestFit="1" customWidth="1"/>
    <col min="5" max="5" width="28.26953125" bestFit="1" customWidth="1"/>
    <col min="6" max="6" width="13.7265625" bestFit="1" customWidth="1"/>
    <col min="7" max="7" width="14.6328125" style="3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63</v>
      </c>
    </row>
    <row r="2" spans="1:8" x14ac:dyDescent="0.4">
      <c r="A2" t="s">
        <v>7</v>
      </c>
      <c r="B2">
        <v>2026</v>
      </c>
      <c r="C2">
        <v>1</v>
      </c>
      <c r="D2" t="s">
        <v>8</v>
      </c>
      <c r="F2">
        <v>0</v>
      </c>
      <c r="G2" s="3" t="s">
        <v>9</v>
      </c>
      <c r="H2" t="str">
        <f>_xlfn.XLOOKUP(TRIM(D2),對應!D:D,對應!E:E,"未對應")</f>
        <v>1網通+技鋼</v>
      </c>
    </row>
    <row r="3" spans="1:8" x14ac:dyDescent="0.4">
      <c r="A3" t="s">
        <v>7</v>
      </c>
      <c r="B3">
        <v>2026</v>
      </c>
      <c r="C3">
        <v>2</v>
      </c>
      <c r="D3" t="s">
        <v>8</v>
      </c>
      <c r="F3">
        <v>0</v>
      </c>
      <c r="G3" s="3" t="s">
        <v>9</v>
      </c>
      <c r="H3" t="str">
        <f>_xlfn.XLOOKUP(TRIM(D3),對應!D:D,對應!E:E,"未對應")</f>
        <v>1網通+技鋼</v>
      </c>
    </row>
    <row r="4" spans="1:8" x14ac:dyDescent="0.4">
      <c r="A4" t="s">
        <v>7</v>
      </c>
      <c r="B4">
        <v>2025</v>
      </c>
      <c r="C4">
        <v>3</v>
      </c>
      <c r="D4" t="s">
        <v>10</v>
      </c>
      <c r="E4" t="s">
        <v>11</v>
      </c>
      <c r="F4">
        <v>120150456</v>
      </c>
      <c r="G4" s="3" t="s">
        <v>12</v>
      </c>
      <c r="H4" t="str">
        <f>_xlfn.XLOOKUP(TRIM(D4),對應!D:D,對應!E:E,"未對應")</f>
        <v>3通路方案</v>
      </c>
    </row>
    <row r="5" spans="1:8" x14ac:dyDescent="0.4">
      <c r="A5" t="s">
        <v>7</v>
      </c>
      <c r="B5">
        <v>2025</v>
      </c>
      <c r="C5">
        <v>3</v>
      </c>
      <c r="D5" t="s">
        <v>10</v>
      </c>
      <c r="E5" t="s">
        <v>13</v>
      </c>
      <c r="F5">
        <v>2218936</v>
      </c>
      <c r="G5" s="3" t="s">
        <v>14</v>
      </c>
      <c r="H5" t="str">
        <f>_xlfn.XLOOKUP(TRIM(D5),對應!D:D,對應!E:E,"未對應")</f>
        <v>3通路方案</v>
      </c>
    </row>
    <row r="6" spans="1:8" x14ac:dyDescent="0.4">
      <c r="A6" t="s">
        <v>7</v>
      </c>
      <c r="B6">
        <v>2025</v>
      </c>
      <c r="C6">
        <v>3</v>
      </c>
      <c r="D6" t="s">
        <v>15</v>
      </c>
      <c r="E6" t="s">
        <v>16</v>
      </c>
      <c r="F6">
        <v>75199082</v>
      </c>
      <c r="G6" s="3" t="s">
        <v>16</v>
      </c>
      <c r="H6" t="str">
        <f>_xlfn.XLOOKUP(TRIM(D6),對應!D:D,對應!E:E,"未對應")</f>
        <v>7製造</v>
      </c>
    </row>
    <row r="7" spans="1:8" x14ac:dyDescent="0.4">
      <c r="A7" t="s">
        <v>7</v>
      </c>
      <c r="B7">
        <v>2025</v>
      </c>
      <c r="C7">
        <v>5</v>
      </c>
      <c r="D7" t="s">
        <v>17</v>
      </c>
      <c r="E7" t="s">
        <v>18</v>
      </c>
      <c r="F7">
        <v>495510617</v>
      </c>
      <c r="G7" s="3" t="s">
        <v>19</v>
      </c>
      <c r="H7" t="str">
        <f>_xlfn.XLOOKUP(TRIM(D7),對應!D:D,對應!E:E,"未對應")</f>
        <v>4筆電+盈嘉</v>
      </c>
    </row>
    <row r="8" spans="1:8" x14ac:dyDescent="0.4">
      <c r="A8" t="s">
        <v>7</v>
      </c>
      <c r="B8">
        <v>2025</v>
      </c>
      <c r="C8">
        <v>5</v>
      </c>
      <c r="D8" t="s">
        <v>10</v>
      </c>
      <c r="E8" t="s">
        <v>20</v>
      </c>
      <c r="F8">
        <v>17264793</v>
      </c>
      <c r="G8" s="3" t="s">
        <v>12</v>
      </c>
      <c r="H8" t="str">
        <f>_xlfn.XLOOKUP(TRIM(D8),對應!D:D,對應!E:E,"未對應")</f>
        <v>3通路方案</v>
      </c>
    </row>
    <row r="9" spans="1:8" x14ac:dyDescent="0.4">
      <c r="A9" t="s">
        <v>7</v>
      </c>
      <c r="B9">
        <v>2025</v>
      </c>
      <c r="C9">
        <v>5</v>
      </c>
      <c r="D9" t="s">
        <v>10</v>
      </c>
      <c r="E9" t="s">
        <v>21</v>
      </c>
      <c r="F9">
        <v>8429686114</v>
      </c>
      <c r="G9" s="3" t="s">
        <v>22</v>
      </c>
      <c r="H9" t="str">
        <f>_xlfn.XLOOKUP(TRIM(D9),對應!D:D,對應!E:E,"未對應")</f>
        <v>3通路方案</v>
      </c>
    </row>
    <row r="10" spans="1:8" x14ac:dyDescent="0.4">
      <c r="A10" t="s">
        <v>7</v>
      </c>
      <c r="B10">
        <v>2025</v>
      </c>
      <c r="C10">
        <v>6</v>
      </c>
      <c r="D10" t="s">
        <v>10</v>
      </c>
      <c r="E10" t="s">
        <v>11</v>
      </c>
      <c r="F10">
        <v>88641153</v>
      </c>
      <c r="G10" s="3" t="s">
        <v>12</v>
      </c>
      <c r="H10" t="str">
        <f>_xlfn.XLOOKUP(TRIM(D10),對應!D:D,對應!E:E,"未對應")</f>
        <v>3通路方案</v>
      </c>
    </row>
    <row r="11" spans="1:8" x14ac:dyDescent="0.4">
      <c r="A11" t="s">
        <v>7</v>
      </c>
      <c r="B11">
        <v>2025</v>
      </c>
      <c r="C11">
        <v>6</v>
      </c>
      <c r="D11" t="s">
        <v>10</v>
      </c>
      <c r="E11" t="s">
        <v>13</v>
      </c>
      <c r="F11">
        <v>10637843</v>
      </c>
      <c r="G11" s="3" t="s">
        <v>14</v>
      </c>
      <c r="H11" t="str">
        <f>_xlfn.XLOOKUP(TRIM(D11),對應!D:D,對應!E:E,"未對應")</f>
        <v>3通路方案</v>
      </c>
    </row>
    <row r="12" spans="1:8" x14ac:dyDescent="0.4">
      <c r="A12" t="s">
        <v>23</v>
      </c>
      <c r="B12">
        <v>2025</v>
      </c>
      <c r="C12">
        <v>1</v>
      </c>
      <c r="D12" t="s">
        <v>10</v>
      </c>
      <c r="E12" t="s">
        <v>24</v>
      </c>
      <c r="F12">
        <v>-792843982</v>
      </c>
      <c r="G12" s="3" t="s">
        <v>14</v>
      </c>
      <c r="H12" t="str">
        <f>_xlfn.XLOOKUP(TRIM(D12),對應!D:D,對應!E:E,"未對應")</f>
        <v>3通路方案</v>
      </c>
    </row>
    <row r="13" spans="1:8" x14ac:dyDescent="0.4">
      <c r="A13" t="s">
        <v>23</v>
      </c>
      <c r="B13">
        <v>2025</v>
      </c>
      <c r="C13">
        <v>1</v>
      </c>
      <c r="D13" t="s">
        <v>10</v>
      </c>
      <c r="E13" t="s">
        <v>25</v>
      </c>
      <c r="F13">
        <v>-29493</v>
      </c>
      <c r="G13" s="3" t="s">
        <v>14</v>
      </c>
      <c r="H13" t="str">
        <f>_xlfn.XLOOKUP(TRIM(D13),對應!D:D,對應!E:E,"未對應")</f>
        <v>3通路方案</v>
      </c>
    </row>
    <row r="14" spans="1:8" x14ac:dyDescent="0.4">
      <c r="A14" t="s">
        <v>23</v>
      </c>
      <c r="B14">
        <v>2025</v>
      </c>
      <c r="C14">
        <v>1</v>
      </c>
      <c r="D14" t="s">
        <v>10</v>
      </c>
      <c r="E14" t="s">
        <v>25</v>
      </c>
      <c r="F14">
        <v>-230006</v>
      </c>
      <c r="G14" s="3" t="s">
        <v>14</v>
      </c>
      <c r="H14" t="str">
        <f>_xlfn.XLOOKUP(TRIM(D14),對應!D:D,對應!E:E,"未對應")</f>
        <v>3通路方案</v>
      </c>
    </row>
    <row r="15" spans="1:8" x14ac:dyDescent="0.4">
      <c r="A15" t="s">
        <v>23</v>
      </c>
      <c r="B15">
        <v>2025</v>
      </c>
      <c r="C15">
        <v>1</v>
      </c>
      <c r="D15" t="s">
        <v>10</v>
      </c>
      <c r="E15" t="s">
        <v>26</v>
      </c>
      <c r="F15">
        <v>-7655652</v>
      </c>
      <c r="G15" s="3" t="s">
        <v>14</v>
      </c>
      <c r="H15" t="str">
        <f>_xlfn.XLOOKUP(TRIM(D15),對應!D:D,對應!E:E,"未對應")</f>
        <v>3通路方案</v>
      </c>
    </row>
    <row r="16" spans="1:8" x14ac:dyDescent="0.4">
      <c r="A16" t="s">
        <v>23</v>
      </c>
      <c r="B16">
        <v>2025</v>
      </c>
      <c r="C16">
        <v>1</v>
      </c>
      <c r="D16" t="s">
        <v>10</v>
      </c>
      <c r="E16" t="s">
        <v>16</v>
      </c>
      <c r="F16">
        <v>-1914231</v>
      </c>
      <c r="G16" s="3" t="s">
        <v>16</v>
      </c>
      <c r="H16" t="str">
        <f>_xlfn.XLOOKUP(TRIM(D16),對應!D:D,對應!E:E,"未對應")</f>
        <v>3通路方案</v>
      </c>
    </row>
    <row r="17" spans="1:8" x14ac:dyDescent="0.4">
      <c r="A17" t="s">
        <v>23</v>
      </c>
      <c r="B17">
        <v>2025</v>
      </c>
      <c r="C17">
        <v>2</v>
      </c>
      <c r="D17" t="s">
        <v>15</v>
      </c>
      <c r="E17" t="s">
        <v>16</v>
      </c>
      <c r="F17">
        <v>-2336618</v>
      </c>
      <c r="G17" s="3" t="s">
        <v>16</v>
      </c>
      <c r="H17" t="str">
        <f>_xlfn.XLOOKUP(TRIM(D17),對應!D:D,對應!E:E,"未對應")</f>
        <v>7製造</v>
      </c>
    </row>
    <row r="18" spans="1:8" x14ac:dyDescent="0.4">
      <c r="A18" t="s">
        <v>23</v>
      </c>
      <c r="B18">
        <v>2025</v>
      </c>
      <c r="C18">
        <v>2</v>
      </c>
      <c r="D18" t="s">
        <v>10</v>
      </c>
      <c r="E18" t="s">
        <v>24</v>
      </c>
      <c r="F18">
        <v>-573449055</v>
      </c>
      <c r="G18" s="3" t="s">
        <v>14</v>
      </c>
      <c r="H18" t="str">
        <f>_xlfn.XLOOKUP(TRIM(D18),對應!D:D,對應!E:E,"未對應")</f>
        <v>3通路方案</v>
      </c>
    </row>
    <row r="19" spans="1:8" x14ac:dyDescent="0.4">
      <c r="A19" t="s">
        <v>23</v>
      </c>
      <c r="B19">
        <v>2025</v>
      </c>
      <c r="C19">
        <v>2</v>
      </c>
      <c r="D19" t="s">
        <v>10</v>
      </c>
      <c r="E19" t="s">
        <v>20</v>
      </c>
      <c r="F19">
        <v>-1201626</v>
      </c>
      <c r="G19" s="3" t="s">
        <v>12</v>
      </c>
      <c r="H19" t="str">
        <f>_xlfn.XLOOKUP(TRIM(D19),對應!D:D,對應!E:E,"未對應")</f>
        <v>3通路方案</v>
      </c>
    </row>
    <row r="20" spans="1:8" x14ac:dyDescent="0.4">
      <c r="A20" t="s">
        <v>23</v>
      </c>
      <c r="B20">
        <v>2025</v>
      </c>
      <c r="C20">
        <v>2</v>
      </c>
      <c r="D20" t="s">
        <v>10</v>
      </c>
      <c r="E20" t="s">
        <v>27</v>
      </c>
      <c r="F20">
        <v>-70413519</v>
      </c>
      <c r="G20" s="3" t="s">
        <v>28</v>
      </c>
      <c r="H20" t="str">
        <f>_xlfn.XLOOKUP(TRIM(D20),對應!D:D,對應!E:E,"未對應")</f>
        <v>3通路方案</v>
      </c>
    </row>
    <row r="21" spans="1:8" x14ac:dyDescent="0.4">
      <c r="A21" t="s">
        <v>23</v>
      </c>
      <c r="B21">
        <v>2025</v>
      </c>
      <c r="C21">
        <v>2</v>
      </c>
      <c r="D21" t="s">
        <v>10</v>
      </c>
      <c r="E21" t="s">
        <v>13</v>
      </c>
      <c r="F21">
        <v>-158280</v>
      </c>
      <c r="G21" s="3" t="s">
        <v>14</v>
      </c>
      <c r="H21" t="str">
        <f>_xlfn.XLOOKUP(TRIM(D21),對應!D:D,對應!E:E,"未對應")</f>
        <v>3通路方案</v>
      </c>
    </row>
    <row r="22" spans="1:8" x14ac:dyDescent="0.4">
      <c r="A22" t="s">
        <v>23</v>
      </c>
      <c r="B22">
        <v>2025</v>
      </c>
      <c r="C22">
        <v>2</v>
      </c>
      <c r="D22" t="s">
        <v>10</v>
      </c>
      <c r="E22" t="s">
        <v>21</v>
      </c>
      <c r="F22">
        <v>-73223102</v>
      </c>
      <c r="G22" s="3" t="s">
        <v>22</v>
      </c>
      <c r="H22" t="str">
        <f>_xlfn.XLOOKUP(TRIM(D22),對應!D:D,對應!E:E,"未對應")</f>
        <v>3通路方案</v>
      </c>
    </row>
    <row r="23" spans="1:8" x14ac:dyDescent="0.4">
      <c r="A23" t="s">
        <v>23</v>
      </c>
      <c r="B23">
        <v>2025</v>
      </c>
      <c r="C23">
        <v>3</v>
      </c>
      <c r="D23" t="s">
        <v>10</v>
      </c>
      <c r="E23" t="s">
        <v>26</v>
      </c>
      <c r="F23">
        <v>-6333701</v>
      </c>
      <c r="G23" s="3" t="s">
        <v>14</v>
      </c>
      <c r="H23" t="str">
        <f>_xlfn.XLOOKUP(TRIM(D23),對應!D:D,對應!E:E,"未對應")</f>
        <v>3通路方案</v>
      </c>
    </row>
    <row r="24" spans="1:8" x14ac:dyDescent="0.4">
      <c r="A24" t="s">
        <v>23</v>
      </c>
      <c r="B24">
        <v>2025</v>
      </c>
      <c r="C24">
        <v>3</v>
      </c>
      <c r="D24" t="s">
        <v>10</v>
      </c>
      <c r="E24" t="s">
        <v>24</v>
      </c>
      <c r="F24">
        <v>-11525554</v>
      </c>
      <c r="G24" s="3" t="s">
        <v>14</v>
      </c>
      <c r="H24" t="str">
        <f>_xlfn.XLOOKUP(TRIM(D24),對應!D:D,對應!E:E,"未對應")</f>
        <v>3通路方案</v>
      </c>
    </row>
    <row r="25" spans="1:8" x14ac:dyDescent="0.4">
      <c r="A25" t="s">
        <v>23</v>
      </c>
      <c r="B25">
        <v>2025</v>
      </c>
      <c r="C25">
        <v>3</v>
      </c>
      <c r="D25" t="s">
        <v>15</v>
      </c>
      <c r="E25" t="s">
        <v>16</v>
      </c>
      <c r="F25">
        <v>-1395450</v>
      </c>
      <c r="G25" s="3" t="s">
        <v>16</v>
      </c>
      <c r="H25" t="str">
        <f>_xlfn.XLOOKUP(TRIM(D25),對應!D:D,對應!E:E,"未對應")</f>
        <v>7製造</v>
      </c>
    </row>
    <row r="26" spans="1:8" x14ac:dyDescent="0.4">
      <c r="A26" t="s">
        <v>23</v>
      </c>
      <c r="B26">
        <v>2025</v>
      </c>
      <c r="C26">
        <v>4</v>
      </c>
      <c r="D26" t="s">
        <v>10</v>
      </c>
      <c r="E26" t="s">
        <v>25</v>
      </c>
      <c r="F26">
        <v>-166422</v>
      </c>
      <c r="G26" s="3" t="s">
        <v>14</v>
      </c>
      <c r="H26" t="str">
        <f>_xlfn.XLOOKUP(TRIM(D26),對應!D:D,對應!E:E,"未對應")</f>
        <v>3通路方案</v>
      </c>
    </row>
    <row r="27" spans="1:8" x14ac:dyDescent="0.4">
      <c r="A27" t="s">
        <v>23</v>
      </c>
      <c r="B27">
        <v>2025</v>
      </c>
      <c r="C27">
        <v>4</v>
      </c>
      <c r="D27" t="s">
        <v>15</v>
      </c>
      <c r="E27" t="s">
        <v>16</v>
      </c>
      <c r="F27">
        <v>-1861053</v>
      </c>
      <c r="G27" s="3" t="s">
        <v>16</v>
      </c>
      <c r="H27" t="str">
        <f>_xlfn.XLOOKUP(TRIM(D27),對應!D:D,對應!E:E,"未對應")</f>
        <v>7製造</v>
      </c>
    </row>
    <row r="28" spans="1:8" x14ac:dyDescent="0.4">
      <c r="A28" t="s">
        <v>23</v>
      </c>
      <c r="B28">
        <v>2025</v>
      </c>
      <c r="C28">
        <v>4</v>
      </c>
      <c r="D28" t="s">
        <v>15</v>
      </c>
      <c r="E28" t="s">
        <v>16</v>
      </c>
      <c r="F28">
        <v>-108250045</v>
      </c>
      <c r="G28" s="3" t="s">
        <v>16</v>
      </c>
      <c r="H28" t="str">
        <f>_xlfn.XLOOKUP(TRIM(D28),對應!D:D,對應!E:E,"未對應")</f>
        <v>7製造</v>
      </c>
    </row>
    <row r="29" spans="1:8" x14ac:dyDescent="0.4">
      <c r="A29" t="s">
        <v>23</v>
      </c>
      <c r="B29">
        <v>2025</v>
      </c>
      <c r="C29">
        <v>4</v>
      </c>
      <c r="D29" t="s">
        <v>15</v>
      </c>
      <c r="E29" t="s">
        <v>16</v>
      </c>
      <c r="F29">
        <v>-899534</v>
      </c>
      <c r="G29" s="3" t="s">
        <v>16</v>
      </c>
      <c r="H29" t="str">
        <f>_xlfn.XLOOKUP(TRIM(D29),對應!D:D,對應!E:E,"未對應")</f>
        <v>7製造</v>
      </c>
    </row>
    <row r="30" spans="1:8" x14ac:dyDescent="0.4">
      <c r="A30" t="s">
        <v>23</v>
      </c>
      <c r="B30">
        <v>2025</v>
      </c>
      <c r="C30">
        <v>4</v>
      </c>
      <c r="D30" t="s">
        <v>10</v>
      </c>
      <c r="E30" t="s">
        <v>26</v>
      </c>
      <c r="F30">
        <v>-3853717</v>
      </c>
      <c r="G30" s="3" t="s">
        <v>14</v>
      </c>
      <c r="H30" t="str">
        <f>_xlfn.XLOOKUP(TRIM(D30),對應!D:D,對應!E:E,"未對應")</f>
        <v>3通路方案</v>
      </c>
    </row>
    <row r="31" spans="1:8" x14ac:dyDescent="0.4">
      <c r="A31" t="s">
        <v>23</v>
      </c>
      <c r="B31">
        <v>2025</v>
      </c>
      <c r="C31">
        <v>4</v>
      </c>
      <c r="D31" t="s">
        <v>15</v>
      </c>
      <c r="E31" t="s">
        <v>16</v>
      </c>
      <c r="F31">
        <v>-2153734</v>
      </c>
      <c r="G31" s="3" t="s">
        <v>16</v>
      </c>
      <c r="H31" t="str">
        <f>_xlfn.XLOOKUP(TRIM(D31),對應!D:D,對應!E:E,"未對應")</f>
        <v>7製造</v>
      </c>
    </row>
    <row r="32" spans="1:8" x14ac:dyDescent="0.4">
      <c r="A32" t="s">
        <v>23</v>
      </c>
      <c r="B32">
        <v>2025</v>
      </c>
      <c r="C32">
        <v>4</v>
      </c>
      <c r="D32" t="s">
        <v>10</v>
      </c>
      <c r="E32" t="s">
        <v>16</v>
      </c>
      <c r="F32">
        <v>-3470155</v>
      </c>
      <c r="G32" s="3" t="s">
        <v>16</v>
      </c>
      <c r="H32" t="str">
        <f>_xlfn.XLOOKUP(TRIM(D32),對應!D:D,對應!E:E,"未對應")</f>
        <v>3通路方案</v>
      </c>
    </row>
    <row r="33" spans="1:8" x14ac:dyDescent="0.4">
      <c r="A33" t="s">
        <v>23</v>
      </c>
      <c r="B33">
        <v>2025</v>
      </c>
      <c r="C33">
        <v>5</v>
      </c>
      <c r="D33" t="s">
        <v>15</v>
      </c>
      <c r="E33" t="s">
        <v>16</v>
      </c>
      <c r="F33">
        <v>-1513650</v>
      </c>
      <c r="G33" s="3" t="s">
        <v>16</v>
      </c>
      <c r="H33" t="str">
        <f>_xlfn.XLOOKUP(TRIM(D33),對應!D:D,對應!E:E,"未對應")</f>
        <v>7製造</v>
      </c>
    </row>
    <row r="34" spans="1:8" x14ac:dyDescent="0.4">
      <c r="A34" t="s">
        <v>23</v>
      </c>
      <c r="B34">
        <v>2025</v>
      </c>
      <c r="C34">
        <v>5</v>
      </c>
      <c r="D34" t="s">
        <v>10</v>
      </c>
      <c r="E34" t="s">
        <v>20</v>
      </c>
      <c r="F34">
        <v>-5431334</v>
      </c>
      <c r="G34" s="3" t="s">
        <v>12</v>
      </c>
      <c r="H34" t="str">
        <f>_xlfn.XLOOKUP(TRIM(D34),對應!D:D,對應!E:E,"未對應")</f>
        <v>3通路方案</v>
      </c>
    </row>
    <row r="35" spans="1:8" x14ac:dyDescent="0.4">
      <c r="A35" t="s">
        <v>23</v>
      </c>
      <c r="B35">
        <v>2025</v>
      </c>
      <c r="C35">
        <v>5</v>
      </c>
      <c r="D35" t="s">
        <v>10</v>
      </c>
      <c r="E35" t="s">
        <v>27</v>
      </c>
      <c r="F35">
        <v>-11880844</v>
      </c>
      <c r="G35" s="3" t="s">
        <v>28</v>
      </c>
      <c r="H35" t="str">
        <f>_xlfn.XLOOKUP(TRIM(D35),對應!D:D,對應!E:E,"未對應")</f>
        <v>3通路方案</v>
      </c>
    </row>
    <row r="36" spans="1:8" x14ac:dyDescent="0.4">
      <c r="A36" t="s">
        <v>23</v>
      </c>
      <c r="B36">
        <v>2025</v>
      </c>
      <c r="C36">
        <v>5</v>
      </c>
      <c r="D36" t="s">
        <v>10</v>
      </c>
      <c r="E36" t="s">
        <v>13</v>
      </c>
      <c r="F36">
        <v>-5146612</v>
      </c>
      <c r="G36" s="3" t="s">
        <v>14</v>
      </c>
      <c r="H36" t="str">
        <f>_xlfn.XLOOKUP(TRIM(D36),對應!D:D,對應!E:E,"未對應")</f>
        <v>3通路方案</v>
      </c>
    </row>
    <row r="37" spans="1:8" x14ac:dyDescent="0.4">
      <c r="A37" t="s">
        <v>23</v>
      </c>
      <c r="B37">
        <v>2025</v>
      </c>
      <c r="C37">
        <v>6</v>
      </c>
      <c r="D37" t="s">
        <v>10</v>
      </c>
      <c r="E37" t="s">
        <v>26</v>
      </c>
      <c r="F37">
        <v>-83149</v>
      </c>
      <c r="G37" s="3" t="s">
        <v>14</v>
      </c>
      <c r="H37" t="str">
        <f>_xlfn.XLOOKUP(TRIM(D37),對應!D:D,對應!E:E,"未對應")</f>
        <v>3通路方案</v>
      </c>
    </row>
    <row r="38" spans="1:8" x14ac:dyDescent="0.4">
      <c r="A38" t="s">
        <v>23</v>
      </c>
      <c r="B38">
        <v>2025</v>
      </c>
      <c r="C38">
        <v>6</v>
      </c>
      <c r="D38" t="s">
        <v>10</v>
      </c>
      <c r="E38" t="s">
        <v>29</v>
      </c>
      <c r="F38">
        <v>-1639863</v>
      </c>
      <c r="G38" s="3" t="s">
        <v>12</v>
      </c>
      <c r="H38" t="str">
        <f>_xlfn.XLOOKUP(TRIM(D38),對應!D:D,對應!E:E,"未對應")</f>
        <v>3通路方案</v>
      </c>
    </row>
    <row r="39" spans="1:8" x14ac:dyDescent="0.4">
      <c r="A39" t="s">
        <v>23</v>
      </c>
      <c r="B39">
        <v>2025</v>
      </c>
      <c r="C39">
        <v>6</v>
      </c>
      <c r="D39" t="s">
        <v>10</v>
      </c>
      <c r="E39" t="s">
        <v>24</v>
      </c>
      <c r="F39">
        <v>-18885401</v>
      </c>
      <c r="G39" s="3" t="s">
        <v>14</v>
      </c>
      <c r="H39" t="str">
        <f>_xlfn.XLOOKUP(TRIM(D39),對應!D:D,對應!E:E,"未對應")</f>
        <v>3通路方案</v>
      </c>
    </row>
    <row r="40" spans="1:8" x14ac:dyDescent="0.4">
      <c r="A40" t="s">
        <v>23</v>
      </c>
      <c r="B40">
        <v>2025</v>
      </c>
      <c r="C40">
        <v>6</v>
      </c>
      <c r="D40" t="s">
        <v>10</v>
      </c>
      <c r="E40" t="s">
        <v>29</v>
      </c>
      <c r="F40">
        <v>-47911</v>
      </c>
      <c r="G40" s="3" t="s">
        <v>12</v>
      </c>
      <c r="H40" t="str">
        <f>_xlfn.XLOOKUP(TRIM(D40),對應!D:D,對應!E:E,"未對應")</f>
        <v>3通路方案</v>
      </c>
    </row>
    <row r="41" spans="1:8" x14ac:dyDescent="0.4">
      <c r="A41" t="s">
        <v>23</v>
      </c>
      <c r="B41">
        <v>2025</v>
      </c>
      <c r="C41">
        <v>6</v>
      </c>
      <c r="D41" t="s">
        <v>10</v>
      </c>
      <c r="E41" t="s">
        <v>30</v>
      </c>
      <c r="F41">
        <v>-31990</v>
      </c>
      <c r="G41" s="3" t="s">
        <v>12</v>
      </c>
      <c r="H41" t="str">
        <f>_xlfn.XLOOKUP(TRIM(D41),對應!D:D,對應!E:E,"未對應")</f>
        <v>3通路方案</v>
      </c>
    </row>
    <row r="42" spans="1:8" x14ac:dyDescent="0.4">
      <c r="A42" t="s">
        <v>23</v>
      </c>
      <c r="B42">
        <v>2025</v>
      </c>
      <c r="C42">
        <v>6</v>
      </c>
      <c r="D42" t="s">
        <v>15</v>
      </c>
      <c r="E42" t="s">
        <v>16</v>
      </c>
      <c r="F42">
        <v>-317399</v>
      </c>
      <c r="G42" s="3" t="s">
        <v>16</v>
      </c>
      <c r="H42" t="str">
        <f>_xlfn.XLOOKUP(TRIM(D42),對應!D:D,對應!E:E,"未對應")</f>
        <v>7製造</v>
      </c>
    </row>
    <row r="43" spans="1:8" x14ac:dyDescent="0.4">
      <c r="A43" t="s">
        <v>31</v>
      </c>
      <c r="B43">
        <v>2025</v>
      </c>
      <c r="C43">
        <v>9</v>
      </c>
      <c r="D43" t="s">
        <v>32</v>
      </c>
      <c r="E43" t="s">
        <v>16</v>
      </c>
      <c r="F43">
        <v>-6118967</v>
      </c>
      <c r="G43" s="3" t="s">
        <v>32</v>
      </c>
      <c r="H43" t="str">
        <f>_xlfn.XLOOKUP(TRIM(D43),對應!D:D,對應!E:E,"未對應")</f>
        <v>5百事益</v>
      </c>
    </row>
    <row r="44" spans="1:8" x14ac:dyDescent="0.4">
      <c r="A44" t="s">
        <v>31</v>
      </c>
      <c r="B44">
        <v>2025</v>
      </c>
      <c r="C44">
        <v>9</v>
      </c>
      <c r="D44" t="s">
        <v>8</v>
      </c>
      <c r="E44" t="s">
        <v>33</v>
      </c>
      <c r="F44">
        <v>-68647</v>
      </c>
      <c r="G44" s="3" t="s">
        <v>9</v>
      </c>
      <c r="H44" t="str">
        <f>_xlfn.XLOOKUP(TRIM(D44),對應!D:D,對應!E:E,"未對應")</f>
        <v>1網通+技鋼</v>
      </c>
    </row>
    <row r="45" spans="1:8" x14ac:dyDescent="0.4">
      <c r="A45" t="s">
        <v>31</v>
      </c>
      <c r="B45">
        <v>2025</v>
      </c>
      <c r="C45">
        <v>9</v>
      </c>
      <c r="D45" t="s">
        <v>8</v>
      </c>
      <c r="E45" t="s">
        <v>33</v>
      </c>
      <c r="F45">
        <v>-6506929</v>
      </c>
      <c r="G45" s="3" t="s">
        <v>9</v>
      </c>
      <c r="H45" t="str">
        <f>_xlfn.XLOOKUP(TRIM(D45),對應!D:D,對應!E:E,"未對應")</f>
        <v>1網通+技鋼</v>
      </c>
    </row>
    <row r="46" spans="1:8" x14ac:dyDescent="0.4">
      <c r="A46" t="s">
        <v>31</v>
      </c>
      <c r="B46">
        <v>2025</v>
      </c>
      <c r="C46">
        <v>9</v>
      </c>
      <c r="D46" t="s">
        <v>32</v>
      </c>
      <c r="E46" t="s">
        <v>16</v>
      </c>
      <c r="F46">
        <v>-2867</v>
      </c>
      <c r="G46" s="3" t="s">
        <v>32</v>
      </c>
      <c r="H46" t="str">
        <f>_xlfn.XLOOKUP(TRIM(D46),對應!D:D,對應!E:E,"未對應")</f>
        <v>5百事益</v>
      </c>
    </row>
    <row r="47" spans="1:8" x14ac:dyDescent="0.4">
      <c r="A47" t="s">
        <v>31</v>
      </c>
      <c r="B47">
        <v>2025</v>
      </c>
      <c r="C47">
        <v>9</v>
      </c>
      <c r="D47" t="s">
        <v>32</v>
      </c>
      <c r="E47" t="s">
        <v>16</v>
      </c>
      <c r="F47">
        <v>-14589638</v>
      </c>
      <c r="G47" s="3" t="s">
        <v>32</v>
      </c>
      <c r="H47" t="str">
        <f>_xlfn.XLOOKUP(TRIM(D47),對應!D:D,對應!E:E,"未對應")</f>
        <v>5百事益</v>
      </c>
    </row>
    <row r="48" spans="1:8" x14ac:dyDescent="0.4">
      <c r="A48" t="s">
        <v>31</v>
      </c>
      <c r="B48">
        <v>2025</v>
      </c>
      <c r="C48">
        <v>9</v>
      </c>
      <c r="D48" t="s">
        <v>34</v>
      </c>
      <c r="E48" t="s">
        <v>16</v>
      </c>
      <c r="F48">
        <v>-60810</v>
      </c>
      <c r="G48" s="3" t="s">
        <v>32</v>
      </c>
      <c r="H48" t="str">
        <f>_xlfn.XLOOKUP(TRIM(D48),對應!D:D,對應!E:E,"未對應")</f>
        <v>5百事益</v>
      </c>
    </row>
    <row r="49" spans="1:8" x14ac:dyDescent="0.4">
      <c r="A49" t="s">
        <v>23</v>
      </c>
      <c r="B49">
        <v>2025</v>
      </c>
      <c r="C49">
        <v>1</v>
      </c>
      <c r="D49" t="s">
        <v>10</v>
      </c>
      <c r="E49" t="s">
        <v>26</v>
      </c>
      <c r="F49">
        <v>-2141825</v>
      </c>
      <c r="G49" s="3" t="s">
        <v>14</v>
      </c>
      <c r="H49" t="str">
        <f>_xlfn.XLOOKUP(TRIM(D49),對應!D:D,對應!E:E,"未對應")</f>
        <v>3通路方案</v>
      </c>
    </row>
    <row r="50" spans="1:8" x14ac:dyDescent="0.4">
      <c r="A50" t="s">
        <v>23</v>
      </c>
      <c r="B50">
        <v>2025</v>
      </c>
      <c r="C50">
        <v>1</v>
      </c>
      <c r="D50" t="s">
        <v>10</v>
      </c>
      <c r="E50" t="s">
        <v>29</v>
      </c>
      <c r="F50">
        <v>-7042010</v>
      </c>
      <c r="G50" s="3" t="s">
        <v>12</v>
      </c>
      <c r="H50" t="str">
        <f>_xlfn.XLOOKUP(TRIM(D50),對應!D:D,對應!E:E,"未對應")</f>
        <v>3通路方案</v>
      </c>
    </row>
    <row r="51" spans="1:8" x14ac:dyDescent="0.4">
      <c r="A51" t="s">
        <v>23</v>
      </c>
      <c r="B51">
        <v>2025</v>
      </c>
      <c r="C51">
        <v>1</v>
      </c>
      <c r="D51" t="s">
        <v>15</v>
      </c>
      <c r="E51" t="s">
        <v>16</v>
      </c>
      <c r="F51">
        <v>-299499</v>
      </c>
      <c r="G51" s="3" t="s">
        <v>16</v>
      </c>
      <c r="H51" t="str">
        <f>_xlfn.XLOOKUP(TRIM(D51),對應!D:D,對應!E:E,"未對應")</f>
        <v>7製造</v>
      </c>
    </row>
    <row r="52" spans="1:8" x14ac:dyDescent="0.4">
      <c r="A52" t="s">
        <v>23</v>
      </c>
      <c r="B52">
        <v>2025</v>
      </c>
      <c r="C52">
        <v>2</v>
      </c>
      <c r="D52" t="s">
        <v>10</v>
      </c>
      <c r="E52" t="s">
        <v>21</v>
      </c>
      <c r="F52">
        <v>-1606827338</v>
      </c>
      <c r="G52" s="3" t="s">
        <v>22</v>
      </c>
      <c r="H52" t="str">
        <f>_xlfn.XLOOKUP(TRIM(D52),對應!D:D,對應!E:E,"未對應")</f>
        <v>3通路方案</v>
      </c>
    </row>
    <row r="53" spans="1:8" x14ac:dyDescent="0.4">
      <c r="A53" t="s">
        <v>7</v>
      </c>
      <c r="B53">
        <v>2025</v>
      </c>
      <c r="C53">
        <v>5</v>
      </c>
      <c r="D53" t="s">
        <v>8</v>
      </c>
      <c r="E53" t="s">
        <v>33</v>
      </c>
      <c r="F53">
        <v>4239498</v>
      </c>
      <c r="G53" s="3" t="s">
        <v>9</v>
      </c>
      <c r="H53" t="str">
        <f>_xlfn.XLOOKUP(TRIM(D53),對應!D:D,對應!E:E,"未對應")</f>
        <v>1網通+技鋼</v>
      </c>
    </row>
    <row r="54" spans="1:8" x14ac:dyDescent="0.4">
      <c r="A54" t="s">
        <v>7</v>
      </c>
      <c r="B54">
        <v>2025</v>
      </c>
      <c r="C54">
        <v>6</v>
      </c>
      <c r="D54" t="s">
        <v>10</v>
      </c>
      <c r="E54" t="s">
        <v>24</v>
      </c>
      <c r="F54">
        <v>2298498311</v>
      </c>
      <c r="G54" s="3" t="s">
        <v>14</v>
      </c>
      <c r="H54" t="str">
        <f>_xlfn.XLOOKUP(TRIM(D54),對應!D:D,對應!E:E,"未對應")</f>
        <v>3通路方案</v>
      </c>
    </row>
    <row r="55" spans="1:8" x14ac:dyDescent="0.4">
      <c r="A55" t="s">
        <v>7</v>
      </c>
      <c r="B55">
        <v>2025</v>
      </c>
      <c r="C55">
        <v>6</v>
      </c>
      <c r="D55" t="s">
        <v>10</v>
      </c>
      <c r="E55" t="s">
        <v>27</v>
      </c>
      <c r="F55">
        <v>182421995</v>
      </c>
      <c r="G55" s="3" t="s">
        <v>28</v>
      </c>
      <c r="H55" t="str">
        <f>_xlfn.XLOOKUP(TRIM(D55),對應!D:D,對應!E:E,"未對應")</f>
        <v>3通路方案</v>
      </c>
    </row>
    <row r="56" spans="1:8" x14ac:dyDescent="0.4">
      <c r="A56" t="s">
        <v>7</v>
      </c>
      <c r="B56">
        <v>2025</v>
      </c>
      <c r="C56">
        <v>8</v>
      </c>
      <c r="D56" t="s">
        <v>10</v>
      </c>
      <c r="E56" t="s">
        <v>11</v>
      </c>
      <c r="F56">
        <v>91497401</v>
      </c>
      <c r="G56" s="3" t="s">
        <v>12</v>
      </c>
      <c r="H56" t="str">
        <f>_xlfn.XLOOKUP(TRIM(D56),對應!D:D,對應!E:E,"未對應")</f>
        <v>3通路方案</v>
      </c>
    </row>
    <row r="57" spans="1:8" x14ac:dyDescent="0.4">
      <c r="A57" t="s">
        <v>7</v>
      </c>
      <c r="B57">
        <v>2025</v>
      </c>
      <c r="C57">
        <v>8</v>
      </c>
      <c r="D57" t="s">
        <v>10</v>
      </c>
      <c r="E57" t="s">
        <v>35</v>
      </c>
      <c r="F57">
        <v>-33506</v>
      </c>
      <c r="G57" s="3" t="s">
        <v>22</v>
      </c>
      <c r="H57" t="str">
        <f>_xlfn.XLOOKUP(TRIM(D57),對應!D:D,對應!E:E,"未對應")</f>
        <v>3通路方案</v>
      </c>
    </row>
    <row r="58" spans="1:8" x14ac:dyDescent="0.4">
      <c r="A58" t="s">
        <v>7</v>
      </c>
      <c r="B58">
        <v>2025</v>
      </c>
      <c r="C58">
        <v>8</v>
      </c>
      <c r="D58" t="s">
        <v>10</v>
      </c>
      <c r="E58" t="s">
        <v>13</v>
      </c>
      <c r="F58">
        <v>-31980</v>
      </c>
      <c r="G58" s="3" t="s">
        <v>14</v>
      </c>
      <c r="H58" t="str">
        <f>_xlfn.XLOOKUP(TRIM(D58),對應!D:D,對應!E:E,"未對應")</f>
        <v>3通路方案</v>
      </c>
    </row>
    <row r="59" spans="1:8" x14ac:dyDescent="0.4">
      <c r="A59" t="s">
        <v>7</v>
      </c>
      <c r="B59">
        <v>2025</v>
      </c>
      <c r="C59">
        <v>8</v>
      </c>
      <c r="D59" t="s">
        <v>10</v>
      </c>
      <c r="E59" t="s">
        <v>26</v>
      </c>
      <c r="F59">
        <v>44279228</v>
      </c>
      <c r="G59" s="3" t="s">
        <v>14</v>
      </c>
      <c r="H59" t="str">
        <f>_xlfn.XLOOKUP(TRIM(D59),對應!D:D,對應!E:E,"未對應")</f>
        <v>3通路方案</v>
      </c>
    </row>
    <row r="60" spans="1:8" x14ac:dyDescent="0.4">
      <c r="A60" t="s">
        <v>7</v>
      </c>
      <c r="B60">
        <v>2025</v>
      </c>
      <c r="C60">
        <v>1</v>
      </c>
      <c r="D60" t="s">
        <v>10</v>
      </c>
      <c r="E60" t="s">
        <v>26</v>
      </c>
      <c r="F60">
        <v>32177727</v>
      </c>
      <c r="G60" s="3" t="s">
        <v>14</v>
      </c>
      <c r="H60" t="str">
        <f>_xlfn.XLOOKUP(TRIM(D60),對應!D:D,對應!E:E,"未對應")</f>
        <v>3通路方案</v>
      </c>
    </row>
    <row r="61" spans="1:8" x14ac:dyDescent="0.4">
      <c r="A61" t="s">
        <v>7</v>
      </c>
      <c r="B61">
        <v>2025</v>
      </c>
      <c r="C61">
        <v>1</v>
      </c>
      <c r="D61" t="s">
        <v>15</v>
      </c>
      <c r="E61" t="s">
        <v>16</v>
      </c>
      <c r="F61">
        <v>64158166</v>
      </c>
      <c r="G61" s="3" t="s">
        <v>16</v>
      </c>
      <c r="H61" t="str">
        <f>_xlfn.XLOOKUP(TRIM(D61),對應!D:D,對應!E:E,"未對應")</f>
        <v>7製造</v>
      </c>
    </row>
    <row r="62" spans="1:8" x14ac:dyDescent="0.4">
      <c r="A62" t="s">
        <v>7</v>
      </c>
      <c r="B62">
        <v>2025</v>
      </c>
      <c r="C62">
        <v>2</v>
      </c>
      <c r="D62" t="s">
        <v>10</v>
      </c>
      <c r="E62" t="s">
        <v>21</v>
      </c>
      <c r="F62">
        <v>6163284477</v>
      </c>
      <c r="G62" s="3" t="s">
        <v>22</v>
      </c>
      <c r="H62" t="str">
        <f>_xlfn.XLOOKUP(TRIM(D62),對應!D:D,對應!E:E,"未對應")</f>
        <v>3通路方案</v>
      </c>
    </row>
    <row r="63" spans="1:8" x14ac:dyDescent="0.4">
      <c r="A63" t="s">
        <v>7</v>
      </c>
      <c r="B63">
        <v>2025</v>
      </c>
      <c r="C63">
        <v>3</v>
      </c>
      <c r="D63" t="s">
        <v>17</v>
      </c>
      <c r="E63" t="s">
        <v>18</v>
      </c>
      <c r="F63">
        <v>615080809</v>
      </c>
      <c r="G63" s="3" t="s">
        <v>19</v>
      </c>
      <c r="H63" t="str">
        <f>_xlfn.XLOOKUP(TRIM(D63),對應!D:D,對應!E:E,"未對應")</f>
        <v>4筆電+盈嘉</v>
      </c>
    </row>
    <row r="64" spans="1:8" x14ac:dyDescent="0.4">
      <c r="A64" t="s">
        <v>7</v>
      </c>
      <c r="B64">
        <v>2025</v>
      </c>
      <c r="C64">
        <v>3</v>
      </c>
      <c r="D64" t="s">
        <v>10</v>
      </c>
      <c r="E64" t="s">
        <v>30</v>
      </c>
      <c r="F64">
        <v>16072938</v>
      </c>
      <c r="G64" s="3" t="s">
        <v>12</v>
      </c>
      <c r="H64" t="str">
        <f>_xlfn.XLOOKUP(TRIM(D64),對應!D:D,對應!E:E,"未對應")</f>
        <v>3通路方案</v>
      </c>
    </row>
    <row r="65" spans="1:8" x14ac:dyDescent="0.4">
      <c r="A65" t="s">
        <v>7</v>
      </c>
      <c r="B65">
        <v>2025</v>
      </c>
      <c r="C65">
        <v>3</v>
      </c>
      <c r="D65" t="s">
        <v>10</v>
      </c>
      <c r="E65" t="s">
        <v>20</v>
      </c>
      <c r="F65">
        <v>22541623</v>
      </c>
      <c r="G65" s="3" t="s">
        <v>12</v>
      </c>
      <c r="H65" t="str">
        <f>_xlfn.XLOOKUP(TRIM(D65),對應!D:D,對應!E:E,"未對應")</f>
        <v>3通路方案</v>
      </c>
    </row>
    <row r="66" spans="1:8" x14ac:dyDescent="0.4">
      <c r="A66" t="s">
        <v>7</v>
      </c>
      <c r="B66">
        <v>2025</v>
      </c>
      <c r="C66">
        <v>3</v>
      </c>
      <c r="D66" t="s">
        <v>10</v>
      </c>
      <c r="E66" t="s">
        <v>35</v>
      </c>
      <c r="F66">
        <v>-30523</v>
      </c>
      <c r="G66" s="3" t="s">
        <v>22</v>
      </c>
      <c r="H66" t="str">
        <f>_xlfn.XLOOKUP(TRIM(D66),對應!D:D,對應!E:E,"未對應")</f>
        <v>3通路方案</v>
      </c>
    </row>
    <row r="67" spans="1:8" x14ac:dyDescent="0.4">
      <c r="A67" t="s">
        <v>7</v>
      </c>
      <c r="B67">
        <v>2025</v>
      </c>
      <c r="C67">
        <v>4</v>
      </c>
      <c r="D67" t="s">
        <v>15</v>
      </c>
      <c r="E67" t="s">
        <v>16</v>
      </c>
      <c r="F67">
        <v>309161</v>
      </c>
      <c r="G67" s="3" t="s">
        <v>16</v>
      </c>
      <c r="H67" t="str">
        <f>_xlfn.XLOOKUP(TRIM(D67),對應!D:D,對應!E:E,"未對應")</f>
        <v>7製造</v>
      </c>
    </row>
    <row r="68" spans="1:8" x14ac:dyDescent="0.4">
      <c r="A68" t="s">
        <v>7</v>
      </c>
      <c r="B68">
        <v>2025</v>
      </c>
      <c r="C68">
        <v>4</v>
      </c>
      <c r="D68" t="s">
        <v>10</v>
      </c>
      <c r="E68" t="s">
        <v>29</v>
      </c>
      <c r="F68">
        <v>5693469</v>
      </c>
      <c r="G68" s="3" t="s">
        <v>12</v>
      </c>
      <c r="H68" t="str">
        <f>_xlfn.XLOOKUP(TRIM(D68),對應!D:D,對應!E:E,"未對應")</f>
        <v>3通路方案</v>
      </c>
    </row>
    <row r="69" spans="1:8" x14ac:dyDescent="0.4">
      <c r="A69" t="s">
        <v>7</v>
      </c>
      <c r="B69">
        <v>2025</v>
      </c>
      <c r="C69">
        <v>4</v>
      </c>
      <c r="D69" t="s">
        <v>10</v>
      </c>
      <c r="E69" t="s">
        <v>26</v>
      </c>
      <c r="F69">
        <v>31545906</v>
      </c>
      <c r="G69" s="3" t="s">
        <v>14</v>
      </c>
      <c r="H69" t="str">
        <f>_xlfn.XLOOKUP(TRIM(D69),對應!D:D,對應!E:E,"未對應")</f>
        <v>3通路方案</v>
      </c>
    </row>
    <row r="70" spans="1:8" x14ac:dyDescent="0.4">
      <c r="A70" t="s">
        <v>7</v>
      </c>
      <c r="B70">
        <v>2025</v>
      </c>
      <c r="C70">
        <v>4</v>
      </c>
      <c r="D70" t="s">
        <v>15</v>
      </c>
      <c r="E70" t="s">
        <v>16</v>
      </c>
      <c r="F70">
        <v>124080760</v>
      </c>
      <c r="G70" s="3" t="s">
        <v>16</v>
      </c>
      <c r="H70" t="str">
        <f>_xlfn.XLOOKUP(TRIM(D70),對應!D:D,對應!E:E,"未對應")</f>
        <v>7製造</v>
      </c>
    </row>
    <row r="71" spans="1:8" x14ac:dyDescent="0.4">
      <c r="A71" t="s">
        <v>7</v>
      </c>
      <c r="B71">
        <v>2025</v>
      </c>
      <c r="C71">
        <v>5</v>
      </c>
      <c r="D71" t="s">
        <v>10</v>
      </c>
      <c r="E71" t="s">
        <v>16</v>
      </c>
      <c r="F71">
        <v>7181583</v>
      </c>
      <c r="G71" s="3" t="s">
        <v>16</v>
      </c>
      <c r="H71" t="str">
        <f>_xlfn.XLOOKUP(TRIM(D71),對應!D:D,對應!E:E,"未對應")</f>
        <v>3通路方案</v>
      </c>
    </row>
    <row r="72" spans="1:8" x14ac:dyDescent="0.4">
      <c r="A72" t="s">
        <v>7</v>
      </c>
      <c r="B72">
        <v>2025</v>
      </c>
      <c r="C72">
        <v>6</v>
      </c>
      <c r="D72" t="s">
        <v>17</v>
      </c>
      <c r="E72" t="s">
        <v>18</v>
      </c>
      <c r="F72">
        <v>1478768130</v>
      </c>
      <c r="G72" s="3" t="s">
        <v>19</v>
      </c>
      <c r="H72" t="str">
        <f>_xlfn.XLOOKUP(TRIM(D72),對應!D:D,對應!E:E,"未對應")</f>
        <v>4筆電+盈嘉</v>
      </c>
    </row>
    <row r="73" spans="1:8" x14ac:dyDescent="0.4">
      <c r="A73" t="s">
        <v>7</v>
      </c>
      <c r="B73">
        <v>2025</v>
      </c>
      <c r="C73">
        <v>6</v>
      </c>
      <c r="D73" t="s">
        <v>10</v>
      </c>
      <c r="E73" t="s">
        <v>20</v>
      </c>
      <c r="F73">
        <v>19037504</v>
      </c>
      <c r="G73" s="3" t="s">
        <v>12</v>
      </c>
      <c r="H73" t="str">
        <f>_xlfn.XLOOKUP(TRIM(D73),對應!D:D,對應!E:E,"未對應")</f>
        <v>3通路方案</v>
      </c>
    </row>
    <row r="74" spans="1:8" x14ac:dyDescent="0.4">
      <c r="A74" t="s">
        <v>7</v>
      </c>
      <c r="B74">
        <v>2025</v>
      </c>
      <c r="C74">
        <v>8</v>
      </c>
      <c r="D74" t="s">
        <v>10</v>
      </c>
      <c r="E74" t="s">
        <v>21</v>
      </c>
      <c r="F74">
        <v>7345206959</v>
      </c>
      <c r="G74" s="3" t="s">
        <v>22</v>
      </c>
      <c r="H74" t="str">
        <f>_xlfn.XLOOKUP(TRIM(D74),對應!D:D,對應!E:E,"未對應")</f>
        <v>3通路方案</v>
      </c>
    </row>
    <row r="75" spans="1:8" x14ac:dyDescent="0.4">
      <c r="A75" t="s">
        <v>7</v>
      </c>
      <c r="B75">
        <v>2025</v>
      </c>
      <c r="C75">
        <v>8</v>
      </c>
      <c r="D75" t="s">
        <v>8</v>
      </c>
      <c r="E75" t="s">
        <v>33</v>
      </c>
      <c r="F75">
        <v>11496994</v>
      </c>
      <c r="G75" s="3" t="s">
        <v>9</v>
      </c>
      <c r="H75" t="str">
        <f>_xlfn.XLOOKUP(TRIM(D75),對應!D:D,對應!E:E,"未對應")</f>
        <v>1網通+技鋼</v>
      </c>
    </row>
    <row r="76" spans="1:8" x14ac:dyDescent="0.4">
      <c r="A76" t="s">
        <v>7</v>
      </c>
      <c r="B76">
        <v>2025</v>
      </c>
      <c r="C76">
        <v>8</v>
      </c>
      <c r="D76" t="s">
        <v>15</v>
      </c>
      <c r="E76" t="s">
        <v>16</v>
      </c>
      <c r="F76">
        <v>89347965</v>
      </c>
      <c r="G76" s="3" t="s">
        <v>16</v>
      </c>
      <c r="H76" t="str">
        <f>_xlfn.XLOOKUP(TRIM(D76),對應!D:D,對應!E:E,"未對應")</f>
        <v>7製造</v>
      </c>
    </row>
    <row r="77" spans="1:8" x14ac:dyDescent="0.4">
      <c r="A77" t="s">
        <v>31</v>
      </c>
      <c r="B77">
        <v>2025</v>
      </c>
      <c r="C77">
        <v>1</v>
      </c>
      <c r="D77" t="s">
        <v>32</v>
      </c>
      <c r="E77" t="s">
        <v>16</v>
      </c>
      <c r="F77">
        <v>-231648</v>
      </c>
      <c r="G77" s="3" t="s">
        <v>32</v>
      </c>
      <c r="H77" t="str">
        <f>_xlfn.XLOOKUP(TRIM(D77),對應!D:D,對應!E:E,"未對應")</f>
        <v>5百事益</v>
      </c>
    </row>
    <row r="78" spans="1:8" x14ac:dyDescent="0.4">
      <c r="A78" t="s">
        <v>31</v>
      </c>
      <c r="B78">
        <v>2025</v>
      </c>
      <c r="C78">
        <v>1</v>
      </c>
      <c r="D78" t="s">
        <v>10</v>
      </c>
      <c r="E78" t="s">
        <v>21</v>
      </c>
      <c r="F78">
        <v>-47895</v>
      </c>
      <c r="G78" s="3" t="s">
        <v>22</v>
      </c>
      <c r="H78" t="str">
        <f>_xlfn.XLOOKUP(TRIM(D78),對應!D:D,對應!E:E,"未對應")</f>
        <v>3通路方案</v>
      </c>
    </row>
    <row r="79" spans="1:8" x14ac:dyDescent="0.4">
      <c r="A79" t="s">
        <v>31</v>
      </c>
      <c r="B79">
        <v>2025</v>
      </c>
      <c r="C79">
        <v>2</v>
      </c>
      <c r="D79" t="s">
        <v>10</v>
      </c>
      <c r="E79" t="s">
        <v>24</v>
      </c>
      <c r="F79">
        <v>-1497729</v>
      </c>
      <c r="G79" s="3" t="s">
        <v>14</v>
      </c>
      <c r="H79" t="str">
        <f>_xlfn.XLOOKUP(TRIM(D79),對應!D:D,對應!E:E,"未對應")</f>
        <v>3通路方案</v>
      </c>
    </row>
    <row r="80" spans="1:8" x14ac:dyDescent="0.4">
      <c r="A80" t="s">
        <v>31</v>
      </c>
      <c r="B80">
        <v>2025</v>
      </c>
      <c r="C80">
        <v>2</v>
      </c>
      <c r="D80" t="s">
        <v>10</v>
      </c>
      <c r="E80" t="s">
        <v>21</v>
      </c>
      <c r="F80">
        <v>-7544920</v>
      </c>
      <c r="G80" s="3" t="s">
        <v>22</v>
      </c>
      <c r="H80" t="str">
        <f>_xlfn.XLOOKUP(TRIM(D80),對應!D:D,對應!E:E,"未對應")</f>
        <v>3通路方案</v>
      </c>
    </row>
    <row r="81" spans="1:8" x14ac:dyDescent="0.4">
      <c r="A81" t="s">
        <v>31</v>
      </c>
      <c r="B81">
        <v>2025</v>
      </c>
      <c r="C81">
        <v>2</v>
      </c>
      <c r="D81" t="s">
        <v>32</v>
      </c>
      <c r="E81" t="s">
        <v>16</v>
      </c>
      <c r="F81">
        <v>-3893504</v>
      </c>
      <c r="G81" s="3" t="s">
        <v>32</v>
      </c>
      <c r="H81" t="str">
        <f>_xlfn.XLOOKUP(TRIM(D81),對應!D:D,對應!E:E,"未對應")</f>
        <v>5百事益</v>
      </c>
    </row>
    <row r="82" spans="1:8" x14ac:dyDescent="0.4">
      <c r="A82" t="s">
        <v>31</v>
      </c>
      <c r="B82">
        <v>2025</v>
      </c>
      <c r="C82">
        <v>2</v>
      </c>
      <c r="D82" t="s">
        <v>32</v>
      </c>
      <c r="E82" t="s">
        <v>16</v>
      </c>
      <c r="F82">
        <v>-3754641</v>
      </c>
      <c r="G82" s="3" t="s">
        <v>32</v>
      </c>
      <c r="H82" t="str">
        <f>_xlfn.XLOOKUP(TRIM(D82),對應!D:D,對應!E:E,"未對應")</f>
        <v>5百事益</v>
      </c>
    </row>
    <row r="83" spans="1:8" x14ac:dyDescent="0.4">
      <c r="A83" t="s">
        <v>31</v>
      </c>
      <c r="B83">
        <v>2025</v>
      </c>
      <c r="C83">
        <v>2</v>
      </c>
      <c r="D83" t="s">
        <v>32</v>
      </c>
      <c r="E83" t="s">
        <v>16</v>
      </c>
      <c r="F83">
        <v>-87327</v>
      </c>
      <c r="G83" s="3" t="s">
        <v>32</v>
      </c>
      <c r="H83" t="str">
        <f>_xlfn.XLOOKUP(TRIM(D83),對應!D:D,對應!E:E,"未對應")</f>
        <v>5百事益</v>
      </c>
    </row>
    <row r="84" spans="1:8" x14ac:dyDescent="0.4">
      <c r="A84" t="s">
        <v>31</v>
      </c>
      <c r="B84">
        <v>2025</v>
      </c>
      <c r="C84">
        <v>3</v>
      </c>
      <c r="D84" t="s">
        <v>10</v>
      </c>
      <c r="E84" t="s">
        <v>24</v>
      </c>
      <c r="F84">
        <v>-421441</v>
      </c>
      <c r="G84" s="3" t="s">
        <v>14</v>
      </c>
      <c r="H84" t="str">
        <f>_xlfn.XLOOKUP(TRIM(D84),對應!D:D,對應!E:E,"未對應")</f>
        <v>3通路方案</v>
      </c>
    </row>
    <row r="85" spans="1:8" x14ac:dyDescent="0.4">
      <c r="A85" t="s">
        <v>31</v>
      </c>
      <c r="B85">
        <v>2025</v>
      </c>
      <c r="C85">
        <v>4</v>
      </c>
      <c r="D85" t="s">
        <v>32</v>
      </c>
      <c r="E85" t="s">
        <v>16</v>
      </c>
      <c r="F85">
        <v>-121739</v>
      </c>
      <c r="G85" s="3" t="s">
        <v>32</v>
      </c>
      <c r="H85" t="str">
        <f>_xlfn.XLOOKUP(TRIM(D85),對應!D:D,對應!E:E,"未對應")</f>
        <v>5百事益</v>
      </c>
    </row>
    <row r="86" spans="1:8" x14ac:dyDescent="0.4">
      <c r="A86" t="s">
        <v>31</v>
      </c>
      <c r="B86">
        <v>2025</v>
      </c>
      <c r="C86">
        <v>4</v>
      </c>
      <c r="D86" t="s">
        <v>32</v>
      </c>
      <c r="E86" t="s">
        <v>16</v>
      </c>
      <c r="F86">
        <v>-6834415</v>
      </c>
      <c r="G86" s="3" t="s">
        <v>32</v>
      </c>
      <c r="H86" t="str">
        <f>_xlfn.XLOOKUP(TRIM(D86),對應!D:D,對應!E:E,"未對應")</f>
        <v>5百事益</v>
      </c>
    </row>
    <row r="87" spans="1:8" x14ac:dyDescent="0.4">
      <c r="A87" t="s">
        <v>31</v>
      </c>
      <c r="B87">
        <v>2025</v>
      </c>
      <c r="C87">
        <v>4</v>
      </c>
      <c r="D87" t="s">
        <v>10</v>
      </c>
      <c r="E87" t="s">
        <v>30</v>
      </c>
      <c r="F87">
        <v>-27278</v>
      </c>
      <c r="G87" s="3" t="s">
        <v>12</v>
      </c>
      <c r="H87" t="str">
        <f>_xlfn.XLOOKUP(TRIM(D87),對應!D:D,對應!E:E,"未對應")</f>
        <v>3通路方案</v>
      </c>
    </row>
    <row r="88" spans="1:8" x14ac:dyDescent="0.4">
      <c r="A88" t="s">
        <v>31</v>
      </c>
      <c r="B88">
        <v>2025</v>
      </c>
      <c r="C88">
        <v>5</v>
      </c>
      <c r="D88" t="s">
        <v>10</v>
      </c>
      <c r="E88" t="s">
        <v>24</v>
      </c>
      <c r="F88">
        <v>-2362992</v>
      </c>
      <c r="G88" s="3" t="s">
        <v>14</v>
      </c>
      <c r="H88" t="str">
        <f>_xlfn.XLOOKUP(TRIM(D88),對應!D:D,對應!E:E,"未對應")</f>
        <v>3通路方案</v>
      </c>
    </row>
    <row r="89" spans="1:8" x14ac:dyDescent="0.4">
      <c r="A89" t="s">
        <v>31</v>
      </c>
      <c r="B89">
        <v>2025</v>
      </c>
      <c r="C89">
        <v>5</v>
      </c>
      <c r="D89" t="s">
        <v>10</v>
      </c>
      <c r="E89" t="s">
        <v>21</v>
      </c>
      <c r="F89">
        <v>-10722426</v>
      </c>
      <c r="G89" s="3" t="s">
        <v>22</v>
      </c>
      <c r="H89" t="str">
        <f>_xlfn.XLOOKUP(TRIM(D89),對應!D:D,對應!E:E,"未對應")</f>
        <v>3通路方案</v>
      </c>
    </row>
    <row r="90" spans="1:8" x14ac:dyDescent="0.4">
      <c r="A90" t="s">
        <v>31</v>
      </c>
      <c r="B90">
        <v>2025</v>
      </c>
      <c r="C90">
        <v>5</v>
      </c>
      <c r="D90" t="s">
        <v>32</v>
      </c>
      <c r="E90" t="s">
        <v>16</v>
      </c>
      <c r="F90">
        <v>-2703938</v>
      </c>
      <c r="G90" s="3" t="s">
        <v>32</v>
      </c>
      <c r="H90" t="str">
        <f>_xlfn.XLOOKUP(TRIM(D90),對應!D:D,對應!E:E,"未對應")</f>
        <v>5百事益</v>
      </c>
    </row>
    <row r="91" spans="1:8" x14ac:dyDescent="0.4">
      <c r="A91" t="s">
        <v>31</v>
      </c>
      <c r="B91">
        <v>2025</v>
      </c>
      <c r="C91">
        <v>5</v>
      </c>
      <c r="D91" t="s">
        <v>10</v>
      </c>
      <c r="E91" t="s">
        <v>16</v>
      </c>
      <c r="F91">
        <v>-575924</v>
      </c>
      <c r="G91" s="3" t="s">
        <v>16</v>
      </c>
      <c r="H91" t="str">
        <f>_xlfn.XLOOKUP(TRIM(D91),對應!D:D,對應!E:E,"未對應")</f>
        <v>3通路方案</v>
      </c>
    </row>
    <row r="92" spans="1:8" x14ac:dyDescent="0.4">
      <c r="A92" t="s">
        <v>31</v>
      </c>
      <c r="B92">
        <v>2025</v>
      </c>
      <c r="C92">
        <v>5</v>
      </c>
      <c r="D92" t="s">
        <v>10</v>
      </c>
      <c r="E92" t="s">
        <v>26</v>
      </c>
      <c r="F92">
        <v>-54830</v>
      </c>
      <c r="G92" s="3" t="s">
        <v>14</v>
      </c>
      <c r="H92" t="str">
        <f>_xlfn.XLOOKUP(TRIM(D92),對應!D:D,對應!E:E,"未對應")</f>
        <v>3通路方案</v>
      </c>
    </row>
    <row r="93" spans="1:8" x14ac:dyDescent="0.4">
      <c r="A93" t="s">
        <v>31</v>
      </c>
      <c r="B93">
        <v>2025</v>
      </c>
      <c r="C93">
        <v>5</v>
      </c>
      <c r="D93" t="s">
        <v>32</v>
      </c>
      <c r="E93" t="s">
        <v>16</v>
      </c>
      <c r="F93">
        <v>-5356423</v>
      </c>
      <c r="G93" s="3" t="s">
        <v>32</v>
      </c>
      <c r="H93" t="str">
        <f>_xlfn.XLOOKUP(TRIM(D93),對應!D:D,對應!E:E,"未對應")</f>
        <v>5百事益</v>
      </c>
    </row>
    <row r="94" spans="1:8" x14ac:dyDescent="0.4">
      <c r="A94" t="s">
        <v>31</v>
      </c>
      <c r="B94">
        <v>2025</v>
      </c>
      <c r="C94">
        <v>5</v>
      </c>
      <c r="D94" t="s">
        <v>32</v>
      </c>
      <c r="E94" t="s">
        <v>16</v>
      </c>
      <c r="F94">
        <v>-33433</v>
      </c>
      <c r="G94" s="3" t="s">
        <v>32</v>
      </c>
      <c r="H94" t="str">
        <f>_xlfn.XLOOKUP(TRIM(D94),對應!D:D,對應!E:E,"未對應")</f>
        <v>5百事益</v>
      </c>
    </row>
    <row r="95" spans="1:8" x14ac:dyDescent="0.4">
      <c r="A95" t="s">
        <v>31</v>
      </c>
      <c r="B95">
        <v>2025</v>
      </c>
      <c r="C95">
        <v>6</v>
      </c>
      <c r="D95" t="s">
        <v>10</v>
      </c>
      <c r="E95" t="s">
        <v>16</v>
      </c>
      <c r="F95">
        <v>-1445</v>
      </c>
      <c r="G95" s="3" t="s">
        <v>16</v>
      </c>
      <c r="H95" t="str">
        <f>_xlfn.XLOOKUP(TRIM(D95),對應!D:D,對應!E:E,"未對應")</f>
        <v>3通路方案</v>
      </c>
    </row>
    <row r="96" spans="1:8" x14ac:dyDescent="0.4">
      <c r="A96" t="s">
        <v>31</v>
      </c>
      <c r="B96">
        <v>2025</v>
      </c>
      <c r="C96">
        <v>6</v>
      </c>
      <c r="D96" t="s">
        <v>10</v>
      </c>
      <c r="E96" t="s">
        <v>16</v>
      </c>
      <c r="F96">
        <v>-6694589</v>
      </c>
      <c r="G96" s="3" t="s">
        <v>16</v>
      </c>
      <c r="H96" t="str">
        <f>_xlfn.XLOOKUP(TRIM(D96),對應!D:D,對應!E:E,"未對應")</f>
        <v>3通路方案</v>
      </c>
    </row>
    <row r="97" spans="1:8" x14ac:dyDescent="0.4">
      <c r="A97" t="s">
        <v>31</v>
      </c>
      <c r="B97">
        <v>2025</v>
      </c>
      <c r="C97">
        <v>6</v>
      </c>
      <c r="D97" t="s">
        <v>10</v>
      </c>
      <c r="E97" t="s">
        <v>25</v>
      </c>
      <c r="F97">
        <v>-15998</v>
      </c>
      <c r="G97" s="3" t="s">
        <v>14</v>
      </c>
      <c r="H97" t="str">
        <f>_xlfn.XLOOKUP(TRIM(D97),對應!D:D,對應!E:E,"未對應")</f>
        <v>3通路方案</v>
      </c>
    </row>
    <row r="98" spans="1:8" x14ac:dyDescent="0.4">
      <c r="A98" t="s">
        <v>31</v>
      </c>
      <c r="B98">
        <v>2025</v>
      </c>
      <c r="C98">
        <v>6</v>
      </c>
      <c r="D98" t="s">
        <v>10</v>
      </c>
      <c r="E98" t="s">
        <v>16</v>
      </c>
      <c r="F98">
        <v>-422695</v>
      </c>
      <c r="G98" s="3" t="s">
        <v>16</v>
      </c>
      <c r="H98" t="str">
        <f>_xlfn.XLOOKUP(TRIM(D98),對應!D:D,對應!E:E,"未對應")</f>
        <v>3通路方案</v>
      </c>
    </row>
    <row r="99" spans="1:8" x14ac:dyDescent="0.4">
      <c r="A99" t="s">
        <v>36</v>
      </c>
      <c r="B99">
        <v>2025</v>
      </c>
      <c r="C99">
        <v>9</v>
      </c>
      <c r="D99" t="s">
        <v>8</v>
      </c>
      <c r="E99" t="s">
        <v>33</v>
      </c>
      <c r="F99">
        <v>15647687342</v>
      </c>
      <c r="G99" s="3" t="s">
        <v>9</v>
      </c>
      <c r="H99" t="str">
        <f>_xlfn.XLOOKUP(TRIM(D99),對應!D:D,對應!E:E,"未對應")</f>
        <v>1網通+技鋼</v>
      </c>
    </row>
    <row r="100" spans="1:8" x14ac:dyDescent="0.4">
      <c r="A100" t="s">
        <v>36</v>
      </c>
      <c r="B100">
        <v>2025</v>
      </c>
      <c r="C100">
        <v>9</v>
      </c>
      <c r="D100" t="s">
        <v>17</v>
      </c>
      <c r="E100" t="s">
        <v>18</v>
      </c>
      <c r="F100">
        <v>476508737</v>
      </c>
      <c r="G100" s="3" t="s">
        <v>19</v>
      </c>
      <c r="H100" t="str">
        <f>_xlfn.XLOOKUP(TRIM(D100),對應!D:D,對應!E:E,"未對應")</f>
        <v>4筆電+盈嘉</v>
      </c>
    </row>
    <row r="101" spans="1:8" x14ac:dyDescent="0.4">
      <c r="A101" t="s">
        <v>36</v>
      </c>
      <c r="B101">
        <v>2025</v>
      </c>
      <c r="C101">
        <v>9</v>
      </c>
      <c r="D101" t="s">
        <v>15</v>
      </c>
      <c r="E101" t="s">
        <v>16</v>
      </c>
      <c r="F101">
        <v>3825185</v>
      </c>
      <c r="G101" s="3" t="s">
        <v>16</v>
      </c>
      <c r="H101" t="str">
        <f>_xlfn.XLOOKUP(TRIM(D101),對應!D:D,對應!E:E,"未對應")</f>
        <v>7製造</v>
      </c>
    </row>
    <row r="102" spans="1:8" x14ac:dyDescent="0.4">
      <c r="A102" t="s">
        <v>36</v>
      </c>
      <c r="B102">
        <v>2025</v>
      </c>
      <c r="C102">
        <v>9</v>
      </c>
      <c r="D102" t="s">
        <v>37</v>
      </c>
      <c r="E102" t="s">
        <v>16</v>
      </c>
      <c r="F102">
        <v>37942317</v>
      </c>
      <c r="G102" s="3" t="s">
        <v>37</v>
      </c>
      <c r="H102" t="str">
        <f>_xlfn.XLOOKUP(TRIM(D102),對應!D:D,對應!E:E,"未對應")</f>
        <v>6雲城</v>
      </c>
    </row>
    <row r="103" spans="1:8" x14ac:dyDescent="0.4">
      <c r="A103" t="s">
        <v>23</v>
      </c>
      <c r="B103">
        <v>2025</v>
      </c>
      <c r="C103">
        <v>2</v>
      </c>
      <c r="D103" t="s">
        <v>15</v>
      </c>
      <c r="E103" t="s">
        <v>16</v>
      </c>
      <c r="F103">
        <v>-60280482</v>
      </c>
      <c r="G103" s="3" t="s">
        <v>37</v>
      </c>
      <c r="H103" t="str">
        <f>_xlfn.XLOOKUP(TRIM(D103),對應!D:D,對應!E:E,"未對應")</f>
        <v>7製造</v>
      </c>
    </row>
    <row r="104" spans="1:8" x14ac:dyDescent="0.4">
      <c r="A104" t="s">
        <v>23</v>
      </c>
      <c r="B104">
        <v>2025</v>
      </c>
      <c r="C104">
        <v>2</v>
      </c>
      <c r="D104" t="s">
        <v>10</v>
      </c>
      <c r="E104" t="s">
        <v>16</v>
      </c>
      <c r="F104">
        <v>59864</v>
      </c>
      <c r="G104" s="3" t="s">
        <v>37</v>
      </c>
      <c r="H104" t="str">
        <f>_xlfn.XLOOKUP(TRIM(D104),對應!D:D,對應!E:E,"未對應")</f>
        <v>3通路方案</v>
      </c>
    </row>
    <row r="105" spans="1:8" x14ac:dyDescent="0.4">
      <c r="A105" t="s">
        <v>23</v>
      </c>
      <c r="B105">
        <v>2025</v>
      </c>
      <c r="C105">
        <v>2</v>
      </c>
      <c r="D105" t="s">
        <v>10</v>
      </c>
      <c r="E105" t="s">
        <v>26</v>
      </c>
      <c r="F105">
        <v>-7612850</v>
      </c>
      <c r="G105" s="3" t="s">
        <v>37</v>
      </c>
      <c r="H105" t="str">
        <f>_xlfn.XLOOKUP(TRIM(D105),對應!D:D,對應!E:E,"未對應")</f>
        <v>3通路方案</v>
      </c>
    </row>
    <row r="106" spans="1:8" x14ac:dyDescent="0.4">
      <c r="A106" t="s">
        <v>23</v>
      </c>
      <c r="B106">
        <v>2025</v>
      </c>
      <c r="C106">
        <v>2</v>
      </c>
      <c r="D106" t="s">
        <v>10</v>
      </c>
      <c r="E106" t="s">
        <v>16</v>
      </c>
      <c r="F106">
        <v>98046</v>
      </c>
      <c r="G106" s="3" t="s">
        <v>37</v>
      </c>
      <c r="H106" t="str">
        <f>_xlfn.XLOOKUP(TRIM(D106),對應!D:D,對應!E:E,"未對應")</f>
        <v>3通路方案</v>
      </c>
    </row>
    <row r="107" spans="1:8" x14ac:dyDescent="0.4">
      <c r="A107" t="s">
        <v>23</v>
      </c>
      <c r="B107">
        <v>2025</v>
      </c>
      <c r="C107">
        <v>2</v>
      </c>
      <c r="D107" t="s">
        <v>15</v>
      </c>
      <c r="E107" t="s">
        <v>16</v>
      </c>
      <c r="F107">
        <v>-1253547</v>
      </c>
      <c r="G107" s="3" t="s">
        <v>37</v>
      </c>
      <c r="H107" t="str">
        <f>_xlfn.XLOOKUP(TRIM(D107),對應!D:D,對應!E:E,"未對應")</f>
        <v>7製造</v>
      </c>
    </row>
    <row r="108" spans="1:8" x14ac:dyDescent="0.4">
      <c r="A108" t="s">
        <v>23</v>
      </c>
      <c r="B108">
        <v>2025</v>
      </c>
      <c r="C108">
        <v>3</v>
      </c>
      <c r="D108" t="s">
        <v>17</v>
      </c>
      <c r="E108" t="s">
        <v>18</v>
      </c>
      <c r="F108">
        <v>-126172588</v>
      </c>
      <c r="G108" s="3" t="s">
        <v>37</v>
      </c>
      <c r="H108" t="str">
        <f>_xlfn.XLOOKUP(TRIM(D108),對應!D:D,對應!E:E,"未對應")</f>
        <v>4筆電+盈嘉</v>
      </c>
    </row>
    <row r="109" spans="1:8" x14ac:dyDescent="0.4">
      <c r="A109" t="s">
        <v>23</v>
      </c>
      <c r="B109">
        <v>2025</v>
      </c>
      <c r="C109">
        <v>3</v>
      </c>
      <c r="D109" t="s">
        <v>10</v>
      </c>
      <c r="E109" t="s">
        <v>20</v>
      </c>
      <c r="F109">
        <v>-10318476</v>
      </c>
      <c r="G109" s="3" t="s">
        <v>37</v>
      </c>
      <c r="H109" t="str">
        <f>_xlfn.XLOOKUP(TRIM(D109),對應!D:D,對應!E:E,"未對應")</f>
        <v>3通路方案</v>
      </c>
    </row>
    <row r="110" spans="1:8" x14ac:dyDescent="0.4">
      <c r="A110" t="s">
        <v>23</v>
      </c>
      <c r="B110">
        <v>2025</v>
      </c>
      <c r="C110">
        <v>3</v>
      </c>
      <c r="D110" t="s">
        <v>10</v>
      </c>
      <c r="E110" t="s">
        <v>38</v>
      </c>
      <c r="F110">
        <v>32820</v>
      </c>
      <c r="G110" s="3" t="s">
        <v>37</v>
      </c>
      <c r="H110" t="str">
        <f>_xlfn.XLOOKUP(TRIM(D110),對應!D:D,對應!E:E,"未對應")</f>
        <v>3通路方案</v>
      </c>
    </row>
    <row r="111" spans="1:8" x14ac:dyDescent="0.4">
      <c r="A111" t="s">
        <v>23</v>
      </c>
      <c r="B111">
        <v>2025</v>
      </c>
      <c r="C111">
        <v>4</v>
      </c>
      <c r="D111" t="s">
        <v>10</v>
      </c>
      <c r="E111" t="s">
        <v>29</v>
      </c>
      <c r="F111">
        <v>-2193580</v>
      </c>
      <c r="G111" s="3" t="s">
        <v>37</v>
      </c>
      <c r="H111" t="str">
        <f>_xlfn.XLOOKUP(TRIM(D111),對應!D:D,對應!E:E,"未對應")</f>
        <v>3通路方案</v>
      </c>
    </row>
    <row r="112" spans="1:8" x14ac:dyDescent="0.4">
      <c r="A112" t="s">
        <v>23</v>
      </c>
      <c r="B112">
        <v>2025</v>
      </c>
      <c r="C112">
        <v>4</v>
      </c>
      <c r="D112" t="s">
        <v>15</v>
      </c>
      <c r="E112" t="s">
        <v>16</v>
      </c>
      <c r="F112">
        <v>-320667</v>
      </c>
      <c r="G112" s="3" t="s">
        <v>37</v>
      </c>
      <c r="H112" t="str">
        <f>_xlfn.XLOOKUP(TRIM(D112),對應!D:D,對應!E:E,"未對應")</f>
        <v>7製造</v>
      </c>
    </row>
    <row r="113" spans="1:8" x14ac:dyDescent="0.4">
      <c r="A113" t="s">
        <v>23</v>
      </c>
      <c r="B113">
        <v>2025</v>
      </c>
      <c r="C113">
        <v>5</v>
      </c>
      <c r="D113" t="s">
        <v>10</v>
      </c>
      <c r="E113" t="s">
        <v>16</v>
      </c>
      <c r="F113">
        <v>-568</v>
      </c>
      <c r="G113" s="3" t="s">
        <v>37</v>
      </c>
      <c r="H113" t="str">
        <f>_xlfn.XLOOKUP(TRIM(D113),對應!D:D,對應!E:E,"未對應")</f>
        <v>3通路方案</v>
      </c>
    </row>
    <row r="114" spans="1:8" x14ac:dyDescent="0.4">
      <c r="A114" t="s">
        <v>23</v>
      </c>
      <c r="B114">
        <v>2025</v>
      </c>
      <c r="C114">
        <v>5</v>
      </c>
      <c r="D114" t="s">
        <v>15</v>
      </c>
      <c r="E114" t="s">
        <v>16</v>
      </c>
      <c r="F114">
        <v>-68648289</v>
      </c>
      <c r="G114" s="3" t="s">
        <v>37</v>
      </c>
      <c r="H114" t="str">
        <f>_xlfn.XLOOKUP(TRIM(D114),對應!D:D,對應!E:E,"未對應")</f>
        <v>7製造</v>
      </c>
    </row>
    <row r="115" spans="1:8" x14ac:dyDescent="0.4">
      <c r="A115" t="s">
        <v>23</v>
      </c>
      <c r="B115">
        <v>2025</v>
      </c>
      <c r="C115">
        <v>5</v>
      </c>
      <c r="D115" t="s">
        <v>10</v>
      </c>
      <c r="E115" t="s">
        <v>16</v>
      </c>
      <c r="F115">
        <v>-454249</v>
      </c>
      <c r="G115" s="3" t="s">
        <v>37</v>
      </c>
      <c r="H115" t="str">
        <f>_xlfn.XLOOKUP(TRIM(D115),對應!D:D,對應!E:E,"未對應")</f>
        <v>3通路方案</v>
      </c>
    </row>
    <row r="116" spans="1:8" x14ac:dyDescent="0.4">
      <c r="A116" t="s">
        <v>23</v>
      </c>
      <c r="B116">
        <v>2025</v>
      </c>
      <c r="C116">
        <v>5</v>
      </c>
      <c r="D116" t="s">
        <v>15</v>
      </c>
      <c r="E116" t="s">
        <v>16</v>
      </c>
      <c r="F116">
        <v>-1544640</v>
      </c>
      <c r="G116" s="3" t="s">
        <v>37</v>
      </c>
      <c r="H116" t="str">
        <f>_xlfn.XLOOKUP(TRIM(D116),對應!D:D,對應!E:E,"未對應")</f>
        <v>7製造</v>
      </c>
    </row>
    <row r="117" spans="1:8" x14ac:dyDescent="0.4">
      <c r="A117" t="s">
        <v>23</v>
      </c>
      <c r="B117">
        <v>2025</v>
      </c>
      <c r="C117">
        <v>6</v>
      </c>
      <c r="D117" t="s">
        <v>17</v>
      </c>
      <c r="E117" t="s">
        <v>18</v>
      </c>
      <c r="F117">
        <v>-1048782652</v>
      </c>
      <c r="G117" s="3" t="s">
        <v>37</v>
      </c>
      <c r="H117" t="str">
        <f>_xlfn.XLOOKUP(TRIM(D117),對應!D:D,對應!E:E,"未對應")</f>
        <v>4筆電+盈嘉</v>
      </c>
    </row>
    <row r="118" spans="1:8" x14ac:dyDescent="0.4">
      <c r="A118" t="s">
        <v>31</v>
      </c>
      <c r="B118">
        <v>2025</v>
      </c>
      <c r="C118">
        <v>9</v>
      </c>
      <c r="D118" t="s">
        <v>32</v>
      </c>
      <c r="E118" t="s">
        <v>16</v>
      </c>
      <c r="F118">
        <v>-330064</v>
      </c>
      <c r="G118" s="3" t="s">
        <v>37</v>
      </c>
      <c r="H118" t="str">
        <f>_xlfn.XLOOKUP(TRIM(D118),對應!D:D,對應!E:E,"未對應")</f>
        <v>5百事益</v>
      </c>
    </row>
    <row r="119" spans="1:8" x14ac:dyDescent="0.4">
      <c r="A119" t="s">
        <v>36</v>
      </c>
      <c r="B119">
        <v>2025</v>
      </c>
      <c r="C119">
        <v>9</v>
      </c>
      <c r="D119" t="s">
        <v>32</v>
      </c>
      <c r="E119" t="s">
        <v>16</v>
      </c>
      <c r="F119">
        <v>102401986</v>
      </c>
      <c r="G119" s="3" t="s">
        <v>37</v>
      </c>
      <c r="H119" t="str">
        <f>_xlfn.XLOOKUP(TRIM(D119),對應!D:D,對應!E:E,"未對應")</f>
        <v>5百事益</v>
      </c>
    </row>
    <row r="120" spans="1:8" x14ac:dyDescent="0.4">
      <c r="A120" t="s">
        <v>36</v>
      </c>
      <c r="B120">
        <v>2025</v>
      </c>
      <c r="C120">
        <v>9</v>
      </c>
      <c r="D120" t="s">
        <v>39</v>
      </c>
      <c r="E120" t="s">
        <v>40</v>
      </c>
      <c r="F120">
        <v>184807201</v>
      </c>
      <c r="G120" s="3" t="s">
        <v>37</v>
      </c>
      <c r="H120" t="str">
        <f>_xlfn.XLOOKUP(TRIM(D120),對應!D:D,對應!E:E,"未對應")</f>
        <v>2技宸</v>
      </c>
    </row>
    <row r="121" spans="1:8" x14ac:dyDescent="0.4">
      <c r="A121" t="s">
        <v>23</v>
      </c>
      <c r="B121">
        <v>2025</v>
      </c>
      <c r="C121">
        <v>1</v>
      </c>
      <c r="D121" t="s">
        <v>10</v>
      </c>
      <c r="E121" t="s">
        <v>16</v>
      </c>
      <c r="F121">
        <v>-215703</v>
      </c>
      <c r="G121" s="3" t="s">
        <v>37</v>
      </c>
      <c r="H121" t="str">
        <f>_xlfn.XLOOKUP(TRIM(D121),對應!D:D,對應!E:E,"未對應")</f>
        <v>3通路方案</v>
      </c>
    </row>
    <row r="122" spans="1:8" x14ac:dyDescent="0.4">
      <c r="A122" t="s">
        <v>23</v>
      </c>
      <c r="B122">
        <v>2025</v>
      </c>
      <c r="C122">
        <v>1</v>
      </c>
      <c r="D122" t="s">
        <v>10</v>
      </c>
      <c r="E122" t="s">
        <v>16</v>
      </c>
      <c r="F122">
        <v>-19038</v>
      </c>
      <c r="G122" s="3" t="s">
        <v>37</v>
      </c>
      <c r="H122" t="str">
        <f>_xlfn.XLOOKUP(TRIM(D122),對應!D:D,對應!E:E,"未對應")</f>
        <v>3通路方案</v>
      </c>
    </row>
    <row r="123" spans="1:8" x14ac:dyDescent="0.4">
      <c r="A123" t="s">
        <v>23</v>
      </c>
      <c r="B123">
        <v>2025</v>
      </c>
      <c r="C123">
        <v>1</v>
      </c>
      <c r="D123" t="s">
        <v>15</v>
      </c>
      <c r="E123" t="s">
        <v>16</v>
      </c>
      <c r="F123">
        <v>-48867432</v>
      </c>
      <c r="G123" s="3" t="s">
        <v>37</v>
      </c>
      <c r="H123" t="str">
        <f>_xlfn.XLOOKUP(TRIM(D123),對應!D:D,對應!E:E,"未對應")</f>
        <v>7製造</v>
      </c>
    </row>
    <row r="124" spans="1:8" x14ac:dyDescent="0.4">
      <c r="A124" t="s">
        <v>23</v>
      </c>
      <c r="B124">
        <v>2025</v>
      </c>
      <c r="C124">
        <v>1</v>
      </c>
      <c r="D124" t="s">
        <v>10</v>
      </c>
      <c r="E124" t="s">
        <v>21</v>
      </c>
      <c r="F124">
        <v>-648600493</v>
      </c>
      <c r="G124" s="3" t="s">
        <v>37</v>
      </c>
      <c r="H124" t="str">
        <f>_xlfn.XLOOKUP(TRIM(D124),對應!D:D,對應!E:E,"未對應")</f>
        <v>3通路方案</v>
      </c>
    </row>
    <row r="125" spans="1:8" x14ac:dyDescent="0.4">
      <c r="A125" t="s">
        <v>23</v>
      </c>
      <c r="B125">
        <v>2025</v>
      </c>
      <c r="C125">
        <v>2</v>
      </c>
      <c r="D125" t="s">
        <v>17</v>
      </c>
      <c r="E125" t="s">
        <v>18</v>
      </c>
      <c r="F125">
        <v>-13320952</v>
      </c>
      <c r="G125" s="3" t="s">
        <v>37</v>
      </c>
      <c r="H125" t="str">
        <f>_xlfn.XLOOKUP(TRIM(D125),對應!D:D,對應!E:E,"未對應")</f>
        <v>4筆電+盈嘉</v>
      </c>
    </row>
    <row r="126" spans="1:8" x14ac:dyDescent="0.4">
      <c r="A126" t="s">
        <v>23</v>
      </c>
      <c r="B126">
        <v>2025</v>
      </c>
      <c r="C126">
        <v>2</v>
      </c>
      <c r="D126" t="s">
        <v>10</v>
      </c>
      <c r="E126" t="s">
        <v>13</v>
      </c>
      <c r="F126">
        <v>-4683112</v>
      </c>
      <c r="G126" s="3" t="s">
        <v>37</v>
      </c>
      <c r="H126" t="str">
        <f>_xlfn.XLOOKUP(TRIM(D126),對應!D:D,對應!E:E,"未對應")</f>
        <v>3通路方案</v>
      </c>
    </row>
    <row r="127" spans="1:8" x14ac:dyDescent="0.4">
      <c r="A127" t="s">
        <v>23</v>
      </c>
      <c r="B127">
        <v>2025</v>
      </c>
      <c r="C127">
        <v>2</v>
      </c>
      <c r="D127" t="s">
        <v>10</v>
      </c>
      <c r="E127" t="s">
        <v>27</v>
      </c>
      <c r="F127">
        <v>-7798647</v>
      </c>
      <c r="G127" s="3" t="s">
        <v>37</v>
      </c>
      <c r="H127" t="str">
        <f>_xlfn.XLOOKUP(TRIM(D127),對應!D:D,對應!E:E,"未對應")</f>
        <v>3通路方案</v>
      </c>
    </row>
    <row r="128" spans="1:8" x14ac:dyDescent="0.4">
      <c r="A128" t="s">
        <v>23</v>
      </c>
      <c r="B128">
        <v>2025</v>
      </c>
      <c r="C128">
        <v>3</v>
      </c>
      <c r="D128" t="s">
        <v>10</v>
      </c>
      <c r="E128" t="s">
        <v>30</v>
      </c>
      <c r="F128">
        <v>-14519</v>
      </c>
      <c r="G128" s="3" t="s">
        <v>37</v>
      </c>
      <c r="H128" t="str">
        <f>_xlfn.XLOOKUP(TRIM(D128),對應!D:D,對應!E:E,"未對應")</f>
        <v>3通路方案</v>
      </c>
    </row>
    <row r="129" spans="1:8" x14ac:dyDescent="0.4">
      <c r="A129" t="s">
        <v>23</v>
      </c>
      <c r="B129">
        <v>2025</v>
      </c>
      <c r="C129">
        <v>3</v>
      </c>
      <c r="D129" t="s">
        <v>10</v>
      </c>
      <c r="E129" t="s">
        <v>21</v>
      </c>
      <c r="F129">
        <v>-2384273903</v>
      </c>
      <c r="G129" s="3" t="s">
        <v>37</v>
      </c>
      <c r="H129" t="str">
        <f>_xlfn.XLOOKUP(TRIM(D129),對應!D:D,對應!E:E,"未對應")</f>
        <v>3通路方案</v>
      </c>
    </row>
    <row r="130" spans="1:8" x14ac:dyDescent="0.4">
      <c r="A130" t="s">
        <v>23</v>
      </c>
      <c r="B130">
        <v>2025</v>
      </c>
      <c r="C130">
        <v>3</v>
      </c>
      <c r="D130" t="s">
        <v>10</v>
      </c>
      <c r="E130" t="s">
        <v>29</v>
      </c>
      <c r="F130">
        <v>-8231583</v>
      </c>
      <c r="G130" s="3" t="s">
        <v>37</v>
      </c>
      <c r="H130" t="str">
        <f>_xlfn.XLOOKUP(TRIM(D130),對應!D:D,對應!E:E,"未對應")</f>
        <v>3通路方案</v>
      </c>
    </row>
    <row r="131" spans="1:8" x14ac:dyDescent="0.4">
      <c r="A131" t="s">
        <v>23</v>
      </c>
      <c r="B131">
        <v>2025</v>
      </c>
      <c r="C131">
        <v>3</v>
      </c>
      <c r="D131" t="s">
        <v>10</v>
      </c>
      <c r="E131" t="s">
        <v>30</v>
      </c>
      <c r="F131">
        <v>-2854369</v>
      </c>
      <c r="G131" s="3" t="s">
        <v>37</v>
      </c>
      <c r="H131" t="str">
        <f>_xlfn.XLOOKUP(TRIM(D131),對應!D:D,對應!E:E,"未對應")</f>
        <v>3通路方案</v>
      </c>
    </row>
    <row r="132" spans="1:8" x14ac:dyDescent="0.4">
      <c r="A132" t="s">
        <v>23</v>
      </c>
      <c r="B132">
        <v>2025</v>
      </c>
      <c r="C132">
        <v>3</v>
      </c>
      <c r="D132" t="s">
        <v>10</v>
      </c>
      <c r="E132" t="s">
        <v>16</v>
      </c>
      <c r="F132">
        <v>-463325</v>
      </c>
      <c r="G132" s="3" t="s">
        <v>37</v>
      </c>
      <c r="H132" t="str">
        <f>_xlfn.XLOOKUP(TRIM(D132),對應!D:D,對應!E:E,"未對應")</f>
        <v>3通路方案</v>
      </c>
    </row>
    <row r="133" spans="1:8" x14ac:dyDescent="0.4">
      <c r="A133" t="s">
        <v>23</v>
      </c>
      <c r="B133">
        <v>2025</v>
      </c>
      <c r="C133">
        <v>3</v>
      </c>
      <c r="D133" t="s">
        <v>10</v>
      </c>
      <c r="E133" t="s">
        <v>20</v>
      </c>
      <c r="F133">
        <v>-3291</v>
      </c>
      <c r="G133" s="3" t="s">
        <v>37</v>
      </c>
      <c r="H133" t="str">
        <f>_xlfn.XLOOKUP(TRIM(D133),對應!D:D,對應!E:E,"未對應")</f>
        <v>3通路方案</v>
      </c>
    </row>
    <row r="134" spans="1:8" x14ac:dyDescent="0.4">
      <c r="A134" t="s">
        <v>23</v>
      </c>
      <c r="B134">
        <v>2025</v>
      </c>
      <c r="C134">
        <v>2</v>
      </c>
      <c r="D134" t="s">
        <v>10</v>
      </c>
      <c r="E134" t="s">
        <v>11</v>
      </c>
      <c r="F134">
        <v>-1138240</v>
      </c>
      <c r="G134" s="3" t="s">
        <v>37</v>
      </c>
      <c r="H134" t="str">
        <f>_xlfn.XLOOKUP(TRIM(D134),對應!D:D,對應!E:E,"未對應")</f>
        <v>3通路方案</v>
      </c>
    </row>
    <row r="135" spans="1:8" x14ac:dyDescent="0.4">
      <c r="A135" t="s">
        <v>23</v>
      </c>
      <c r="B135">
        <v>2025</v>
      </c>
      <c r="C135">
        <v>3</v>
      </c>
      <c r="D135" t="s">
        <v>10</v>
      </c>
      <c r="E135" t="s">
        <v>24</v>
      </c>
      <c r="F135">
        <v>-860736262</v>
      </c>
      <c r="G135" s="3" t="s">
        <v>37</v>
      </c>
      <c r="H135" t="str">
        <f>_xlfn.XLOOKUP(TRIM(D135),對應!D:D,對應!E:E,"未對應")</f>
        <v>3通路方案</v>
      </c>
    </row>
    <row r="136" spans="1:8" x14ac:dyDescent="0.4">
      <c r="A136" t="s">
        <v>23</v>
      </c>
      <c r="B136">
        <v>2025</v>
      </c>
      <c r="C136">
        <v>3</v>
      </c>
      <c r="D136" t="s">
        <v>10</v>
      </c>
      <c r="E136" t="s">
        <v>16</v>
      </c>
      <c r="F136">
        <v>-53392</v>
      </c>
      <c r="G136" s="3" t="s">
        <v>37</v>
      </c>
      <c r="H136" t="str">
        <f>_xlfn.XLOOKUP(TRIM(D136),對應!D:D,對應!E:E,"未對應")</f>
        <v>3通路方案</v>
      </c>
    </row>
    <row r="137" spans="1:8" x14ac:dyDescent="0.4">
      <c r="A137" t="s">
        <v>23</v>
      </c>
      <c r="B137">
        <v>2025</v>
      </c>
      <c r="C137">
        <v>3</v>
      </c>
      <c r="D137" t="s">
        <v>15</v>
      </c>
      <c r="E137" t="s">
        <v>16</v>
      </c>
      <c r="F137">
        <v>-813911</v>
      </c>
      <c r="G137" s="3" t="s">
        <v>37</v>
      </c>
      <c r="H137" t="str">
        <f>_xlfn.XLOOKUP(TRIM(D137),對應!D:D,對應!E:E,"未對應")</f>
        <v>7製造</v>
      </c>
    </row>
    <row r="138" spans="1:8" x14ac:dyDescent="0.4">
      <c r="A138" t="s">
        <v>23</v>
      </c>
      <c r="B138">
        <v>2025</v>
      </c>
      <c r="C138">
        <v>3</v>
      </c>
      <c r="D138" t="s">
        <v>10</v>
      </c>
      <c r="E138" t="s">
        <v>25</v>
      </c>
      <c r="F138">
        <v>722040</v>
      </c>
      <c r="G138" s="3" t="s">
        <v>37</v>
      </c>
      <c r="H138" t="str">
        <f>_xlfn.XLOOKUP(TRIM(D138),對應!D:D,對應!E:E,"未對應")</f>
        <v>3通路方案</v>
      </c>
    </row>
    <row r="139" spans="1:8" x14ac:dyDescent="0.4">
      <c r="A139" t="s">
        <v>23</v>
      </c>
      <c r="B139">
        <v>2025</v>
      </c>
      <c r="C139">
        <v>3</v>
      </c>
      <c r="D139" t="s">
        <v>10</v>
      </c>
      <c r="E139" t="s">
        <v>13</v>
      </c>
      <c r="F139">
        <v>-2027822</v>
      </c>
      <c r="G139" s="3" t="s">
        <v>37</v>
      </c>
      <c r="H139" t="str">
        <f>_xlfn.XLOOKUP(TRIM(D139),對應!D:D,對應!E:E,"未對應")</f>
        <v>3通路方案</v>
      </c>
    </row>
    <row r="140" spans="1:8" x14ac:dyDescent="0.4">
      <c r="A140" t="s">
        <v>23</v>
      </c>
      <c r="B140">
        <v>2025</v>
      </c>
      <c r="C140">
        <v>4</v>
      </c>
      <c r="D140" t="s">
        <v>15</v>
      </c>
      <c r="E140" t="s">
        <v>16</v>
      </c>
      <c r="F140">
        <v>-10085975</v>
      </c>
      <c r="G140" s="3" t="s">
        <v>37</v>
      </c>
      <c r="H140" t="str">
        <f>_xlfn.XLOOKUP(TRIM(D140),對應!D:D,對應!E:E,"未對應")</f>
        <v>7製造</v>
      </c>
    </row>
    <row r="141" spans="1:8" x14ac:dyDescent="0.4">
      <c r="A141" t="s">
        <v>23</v>
      </c>
      <c r="B141">
        <v>2025</v>
      </c>
      <c r="C141">
        <v>4</v>
      </c>
      <c r="D141" t="s">
        <v>10</v>
      </c>
      <c r="E141" t="s">
        <v>24</v>
      </c>
      <c r="F141">
        <v>-410988366</v>
      </c>
      <c r="G141" s="3" t="s">
        <v>37</v>
      </c>
      <c r="H141" t="str">
        <f>_xlfn.XLOOKUP(TRIM(D141),對應!D:D,對應!E:E,"未對應")</f>
        <v>3通路方案</v>
      </c>
    </row>
    <row r="142" spans="1:8" x14ac:dyDescent="0.4">
      <c r="A142" t="s">
        <v>23</v>
      </c>
      <c r="B142">
        <v>2025</v>
      </c>
      <c r="C142">
        <v>4</v>
      </c>
      <c r="D142" t="s">
        <v>10</v>
      </c>
      <c r="E142" t="s">
        <v>30</v>
      </c>
      <c r="F142">
        <v>132728</v>
      </c>
      <c r="G142" s="3" t="s">
        <v>37</v>
      </c>
      <c r="H142" t="str">
        <f>_xlfn.XLOOKUP(TRIM(D142),對應!D:D,對應!E:E,"未對應")</f>
        <v>3通路方案</v>
      </c>
    </row>
    <row r="143" spans="1:8" x14ac:dyDescent="0.4">
      <c r="A143" t="s">
        <v>23</v>
      </c>
      <c r="B143">
        <v>2025</v>
      </c>
      <c r="C143">
        <v>4</v>
      </c>
      <c r="D143" t="s">
        <v>10</v>
      </c>
      <c r="E143" t="s">
        <v>27</v>
      </c>
      <c r="F143">
        <v>12216585</v>
      </c>
      <c r="G143" s="3" t="s">
        <v>28</v>
      </c>
      <c r="H143" t="str">
        <f>_xlfn.XLOOKUP(TRIM(D143),對應!D:D,對應!E:E,"未對應")</f>
        <v>3通路方案</v>
      </c>
    </row>
    <row r="144" spans="1:8" x14ac:dyDescent="0.4">
      <c r="A144" t="s">
        <v>23</v>
      </c>
      <c r="B144">
        <v>2025</v>
      </c>
      <c r="C144">
        <v>4</v>
      </c>
      <c r="D144" t="s">
        <v>10</v>
      </c>
      <c r="E144" t="s">
        <v>26</v>
      </c>
      <c r="F144">
        <v>-4071205</v>
      </c>
      <c r="G144" s="3" t="s">
        <v>14</v>
      </c>
      <c r="H144" t="str">
        <f>_xlfn.XLOOKUP(TRIM(D144),對應!D:D,對應!E:E,"未對應")</f>
        <v>3通路方案</v>
      </c>
    </row>
    <row r="145" spans="1:8" x14ac:dyDescent="0.4">
      <c r="A145" t="s">
        <v>23</v>
      </c>
      <c r="B145">
        <v>2025</v>
      </c>
      <c r="C145">
        <v>4</v>
      </c>
      <c r="D145" t="s">
        <v>10</v>
      </c>
      <c r="E145" t="s">
        <v>30</v>
      </c>
      <c r="F145">
        <v>-9975</v>
      </c>
      <c r="G145" s="3" t="s">
        <v>12</v>
      </c>
      <c r="H145" t="str">
        <f>_xlfn.XLOOKUP(TRIM(D145),對應!D:D,對應!E:E,"未對應")</f>
        <v>3通路方案</v>
      </c>
    </row>
    <row r="146" spans="1:8" x14ac:dyDescent="0.4">
      <c r="A146" t="s">
        <v>23</v>
      </c>
      <c r="B146">
        <v>2025</v>
      </c>
      <c r="C146">
        <v>4</v>
      </c>
      <c r="D146" t="s">
        <v>10</v>
      </c>
      <c r="E146" t="s">
        <v>27</v>
      </c>
      <c r="F146">
        <v>7262004</v>
      </c>
      <c r="G146" s="3" t="s">
        <v>28</v>
      </c>
      <c r="H146" t="str">
        <f>_xlfn.XLOOKUP(TRIM(D146),對應!D:D,對應!E:E,"未對應")</f>
        <v>3通路方案</v>
      </c>
    </row>
    <row r="147" spans="1:8" x14ac:dyDescent="0.4">
      <c r="A147" t="s">
        <v>23</v>
      </c>
      <c r="B147">
        <v>2025</v>
      </c>
      <c r="C147">
        <v>4</v>
      </c>
      <c r="D147" t="s">
        <v>10</v>
      </c>
      <c r="E147" t="s">
        <v>21</v>
      </c>
      <c r="F147">
        <v>-38021993</v>
      </c>
      <c r="G147" s="3" t="s">
        <v>22</v>
      </c>
      <c r="H147" t="str">
        <f>_xlfn.XLOOKUP(TRIM(D147),對應!D:D,對應!E:E,"未對應")</f>
        <v>3通路方案</v>
      </c>
    </row>
    <row r="148" spans="1:8" x14ac:dyDescent="0.4">
      <c r="A148" t="s">
        <v>23</v>
      </c>
      <c r="B148">
        <v>2025</v>
      </c>
      <c r="C148">
        <v>4</v>
      </c>
      <c r="D148" t="s">
        <v>10</v>
      </c>
      <c r="E148" t="s">
        <v>27</v>
      </c>
      <c r="F148">
        <v>-55290</v>
      </c>
      <c r="G148" s="3" t="s">
        <v>28</v>
      </c>
      <c r="H148" t="str">
        <f>_xlfn.XLOOKUP(TRIM(D148),對應!D:D,對應!E:E,"未對應")</f>
        <v>3通路方案</v>
      </c>
    </row>
    <row r="149" spans="1:8" x14ac:dyDescent="0.4">
      <c r="A149" t="s">
        <v>23</v>
      </c>
      <c r="B149">
        <v>2025</v>
      </c>
      <c r="C149">
        <v>5</v>
      </c>
      <c r="D149" t="s">
        <v>15</v>
      </c>
      <c r="E149" t="s">
        <v>16</v>
      </c>
      <c r="F149">
        <v>-4500</v>
      </c>
      <c r="G149" s="3" t="s">
        <v>16</v>
      </c>
      <c r="H149" t="str">
        <f>_xlfn.XLOOKUP(TRIM(D149),對應!D:D,對應!E:E,"未對應")</f>
        <v>7製造</v>
      </c>
    </row>
    <row r="150" spans="1:8" x14ac:dyDescent="0.4">
      <c r="A150" t="s">
        <v>23</v>
      </c>
      <c r="B150">
        <v>2025</v>
      </c>
      <c r="C150">
        <v>5</v>
      </c>
      <c r="D150" t="s">
        <v>15</v>
      </c>
      <c r="E150" t="s">
        <v>16</v>
      </c>
      <c r="F150">
        <v>-2281262</v>
      </c>
      <c r="G150" s="3" t="s">
        <v>16</v>
      </c>
      <c r="H150" t="str">
        <f>_xlfn.XLOOKUP(TRIM(D150),對應!D:D,對應!E:E,"未對應")</f>
        <v>7製造</v>
      </c>
    </row>
    <row r="151" spans="1:8" x14ac:dyDescent="0.4">
      <c r="A151" t="s">
        <v>23</v>
      </c>
      <c r="B151">
        <v>2025</v>
      </c>
      <c r="C151">
        <v>5</v>
      </c>
      <c r="D151" t="s">
        <v>10</v>
      </c>
      <c r="E151" t="s">
        <v>11</v>
      </c>
      <c r="F151">
        <v>-12500158</v>
      </c>
      <c r="G151" s="3" t="s">
        <v>12</v>
      </c>
      <c r="H151" t="str">
        <f>_xlfn.XLOOKUP(TRIM(D151),對應!D:D,對應!E:E,"未對應")</f>
        <v>3通路方案</v>
      </c>
    </row>
    <row r="152" spans="1:8" x14ac:dyDescent="0.4">
      <c r="A152" t="s">
        <v>23</v>
      </c>
      <c r="B152">
        <v>2025</v>
      </c>
      <c r="C152">
        <v>5</v>
      </c>
      <c r="D152" t="s">
        <v>10</v>
      </c>
      <c r="E152" t="s">
        <v>11</v>
      </c>
      <c r="F152">
        <v>-2373942</v>
      </c>
      <c r="G152" s="3" t="s">
        <v>12</v>
      </c>
      <c r="H152" t="str">
        <f>_xlfn.XLOOKUP(TRIM(D152),對應!D:D,對應!E:E,"未對應")</f>
        <v>3通路方案</v>
      </c>
    </row>
    <row r="153" spans="1:8" x14ac:dyDescent="0.4">
      <c r="A153" t="s">
        <v>23</v>
      </c>
      <c r="B153">
        <v>2025</v>
      </c>
      <c r="C153">
        <v>6</v>
      </c>
      <c r="D153" t="s">
        <v>10</v>
      </c>
      <c r="E153" t="s">
        <v>24</v>
      </c>
      <c r="F153">
        <v>-818431033</v>
      </c>
      <c r="G153" s="3" t="s">
        <v>14</v>
      </c>
      <c r="H153" t="str">
        <f>_xlfn.XLOOKUP(TRIM(D153),對應!D:D,對應!E:E,"未對應")</f>
        <v>3通路方案</v>
      </c>
    </row>
    <row r="154" spans="1:8" x14ac:dyDescent="0.4">
      <c r="A154" t="s">
        <v>23</v>
      </c>
      <c r="B154">
        <v>2025</v>
      </c>
      <c r="C154">
        <v>6</v>
      </c>
      <c r="D154" t="s">
        <v>10</v>
      </c>
      <c r="E154" t="s">
        <v>21</v>
      </c>
      <c r="F154">
        <v>-1262504289</v>
      </c>
      <c r="G154" s="3" t="s">
        <v>22</v>
      </c>
      <c r="H154" t="str">
        <f>_xlfn.XLOOKUP(TRIM(D154),對應!D:D,對應!E:E,"未對應")</f>
        <v>3通路方案</v>
      </c>
    </row>
    <row r="155" spans="1:8" x14ac:dyDescent="0.4">
      <c r="A155" t="s">
        <v>23</v>
      </c>
      <c r="B155">
        <v>2025</v>
      </c>
      <c r="C155">
        <v>6</v>
      </c>
      <c r="D155" t="s">
        <v>15</v>
      </c>
      <c r="E155" t="s">
        <v>16</v>
      </c>
      <c r="F155">
        <v>-322091</v>
      </c>
      <c r="G155" s="3" t="s">
        <v>16</v>
      </c>
      <c r="H155" t="str">
        <f>_xlfn.XLOOKUP(TRIM(D155),對應!D:D,對應!E:E,"未對應")</f>
        <v>7製造</v>
      </c>
    </row>
    <row r="156" spans="1:8" x14ac:dyDescent="0.4">
      <c r="A156" t="s">
        <v>23</v>
      </c>
      <c r="B156">
        <v>2025</v>
      </c>
      <c r="C156">
        <v>6</v>
      </c>
      <c r="D156" t="s">
        <v>10</v>
      </c>
      <c r="E156" t="s">
        <v>25</v>
      </c>
      <c r="F156">
        <v>29929</v>
      </c>
      <c r="G156" s="3" t="s">
        <v>14</v>
      </c>
      <c r="H156" t="str">
        <f>_xlfn.XLOOKUP(TRIM(D156),對應!D:D,對應!E:E,"未對應")</f>
        <v>3通路方案</v>
      </c>
    </row>
    <row r="157" spans="1:8" x14ac:dyDescent="0.4">
      <c r="A157" t="s">
        <v>23</v>
      </c>
      <c r="B157">
        <v>2025</v>
      </c>
      <c r="C157">
        <v>6</v>
      </c>
      <c r="D157" t="s">
        <v>10</v>
      </c>
      <c r="E157" t="s">
        <v>13</v>
      </c>
      <c r="F157">
        <v>-10623576</v>
      </c>
      <c r="G157" s="3" t="s">
        <v>14</v>
      </c>
      <c r="H157" t="str">
        <f>_xlfn.XLOOKUP(TRIM(D157),對應!D:D,對應!E:E,"未對應")</f>
        <v>3通路方案</v>
      </c>
    </row>
    <row r="158" spans="1:8" x14ac:dyDescent="0.4">
      <c r="A158" t="s">
        <v>23</v>
      </c>
      <c r="B158">
        <v>2025</v>
      </c>
      <c r="C158">
        <v>6</v>
      </c>
      <c r="D158" t="s">
        <v>10</v>
      </c>
      <c r="E158" t="s">
        <v>26</v>
      </c>
      <c r="F158">
        <v>29929</v>
      </c>
      <c r="G158" s="3" t="s">
        <v>14</v>
      </c>
      <c r="H158" t="str">
        <f>_xlfn.XLOOKUP(TRIM(D158),對應!D:D,對應!E:E,"未對應")</f>
        <v>3通路方案</v>
      </c>
    </row>
    <row r="159" spans="1:8" x14ac:dyDescent="0.4">
      <c r="A159" t="s">
        <v>23</v>
      </c>
      <c r="B159">
        <v>2025</v>
      </c>
      <c r="C159">
        <v>6</v>
      </c>
      <c r="D159" t="s">
        <v>10</v>
      </c>
      <c r="E159" t="s">
        <v>16</v>
      </c>
      <c r="F159">
        <v>-5921991</v>
      </c>
      <c r="G159" s="3" t="s">
        <v>16</v>
      </c>
      <c r="H159" t="str">
        <f>_xlfn.XLOOKUP(TRIM(D159),對應!D:D,對應!E:E,"未對應")</f>
        <v>3通路方案</v>
      </c>
    </row>
    <row r="160" spans="1:8" x14ac:dyDescent="0.4">
      <c r="A160" t="s">
        <v>31</v>
      </c>
      <c r="B160">
        <v>2025</v>
      </c>
      <c r="C160">
        <v>7</v>
      </c>
      <c r="D160" t="s">
        <v>10</v>
      </c>
      <c r="E160" t="s">
        <v>24</v>
      </c>
      <c r="F160">
        <v>-10524688</v>
      </c>
      <c r="G160" s="3" t="s">
        <v>14</v>
      </c>
      <c r="H160" t="str">
        <f>_xlfn.XLOOKUP(TRIM(D160),對應!D:D,對應!E:E,"未對應")</f>
        <v>3通路方案</v>
      </c>
    </row>
    <row r="161" spans="1:8" x14ac:dyDescent="0.4">
      <c r="A161" t="s">
        <v>41</v>
      </c>
      <c r="B161">
        <v>2025</v>
      </c>
      <c r="C161">
        <v>9</v>
      </c>
      <c r="D161" t="s">
        <v>39</v>
      </c>
      <c r="E161" t="s">
        <v>40</v>
      </c>
      <c r="F161">
        <v>-59217</v>
      </c>
      <c r="G161" s="3" t="s">
        <v>42</v>
      </c>
      <c r="H161" t="str">
        <f>_xlfn.XLOOKUP(TRIM(D161),對應!D:D,對應!E:E,"未對應")</f>
        <v>2技宸</v>
      </c>
    </row>
    <row r="162" spans="1:8" x14ac:dyDescent="0.4">
      <c r="A162" t="s">
        <v>41</v>
      </c>
      <c r="B162">
        <v>2025</v>
      </c>
      <c r="C162">
        <v>9</v>
      </c>
      <c r="D162" t="s">
        <v>39</v>
      </c>
      <c r="E162" t="s">
        <v>40</v>
      </c>
      <c r="F162">
        <v>-139255</v>
      </c>
      <c r="G162" s="3" t="s">
        <v>42</v>
      </c>
      <c r="H162" t="str">
        <f>_xlfn.XLOOKUP(TRIM(D162),對應!D:D,對應!E:E,"未對應")</f>
        <v>2技宸</v>
      </c>
    </row>
    <row r="163" spans="1:8" x14ac:dyDescent="0.4">
      <c r="A163" t="s">
        <v>41</v>
      </c>
      <c r="B163">
        <v>2025</v>
      </c>
      <c r="C163">
        <v>9</v>
      </c>
      <c r="D163" t="s">
        <v>39</v>
      </c>
      <c r="E163" t="s">
        <v>40</v>
      </c>
      <c r="F163">
        <v>-9437600</v>
      </c>
      <c r="G163" s="3" t="s">
        <v>42</v>
      </c>
      <c r="H163" t="str">
        <f>_xlfn.XLOOKUP(TRIM(D163),對應!D:D,對應!E:E,"未對應")</f>
        <v>2技宸</v>
      </c>
    </row>
    <row r="164" spans="1:8" x14ac:dyDescent="0.4">
      <c r="A164" t="s">
        <v>41</v>
      </c>
      <c r="B164">
        <v>2025</v>
      </c>
      <c r="C164">
        <v>9</v>
      </c>
      <c r="D164" t="s">
        <v>8</v>
      </c>
      <c r="E164" t="s">
        <v>33</v>
      </c>
      <c r="F164">
        <v>-7558864</v>
      </c>
      <c r="G164" s="3" t="s">
        <v>9</v>
      </c>
      <c r="H164" t="str">
        <f>_xlfn.XLOOKUP(TRIM(D164),對應!D:D,對應!E:E,"未對應")</f>
        <v>1網通+技鋼</v>
      </c>
    </row>
    <row r="165" spans="1:8" x14ac:dyDescent="0.4">
      <c r="A165" t="s">
        <v>41</v>
      </c>
      <c r="B165">
        <v>2025</v>
      </c>
      <c r="C165">
        <v>9</v>
      </c>
      <c r="D165" t="s">
        <v>8</v>
      </c>
      <c r="E165" t="s">
        <v>33</v>
      </c>
      <c r="F165">
        <v>-18349543</v>
      </c>
      <c r="G165" s="3" t="s">
        <v>9</v>
      </c>
      <c r="H165" t="str">
        <f>_xlfn.XLOOKUP(TRIM(D165),對應!D:D,對應!E:E,"未對應")</f>
        <v>1網通+技鋼</v>
      </c>
    </row>
    <row r="166" spans="1:8" x14ac:dyDescent="0.4">
      <c r="A166" t="s">
        <v>41</v>
      </c>
      <c r="B166">
        <v>2025</v>
      </c>
      <c r="C166">
        <v>9</v>
      </c>
      <c r="D166" t="s">
        <v>8</v>
      </c>
      <c r="E166" t="s">
        <v>33</v>
      </c>
      <c r="F166">
        <v>-138188724</v>
      </c>
      <c r="G166" s="3" t="s">
        <v>9</v>
      </c>
      <c r="H166" t="str">
        <f>_xlfn.XLOOKUP(TRIM(D166),對應!D:D,對應!E:E,"未對應")</f>
        <v>1網通+技鋼</v>
      </c>
    </row>
    <row r="167" spans="1:8" x14ac:dyDescent="0.4">
      <c r="A167" t="s">
        <v>41</v>
      </c>
      <c r="B167">
        <v>2025</v>
      </c>
      <c r="C167">
        <v>9</v>
      </c>
      <c r="D167" t="s">
        <v>8</v>
      </c>
      <c r="E167" t="s">
        <v>33</v>
      </c>
      <c r="F167">
        <v>-128224278</v>
      </c>
      <c r="G167" s="3" t="s">
        <v>9</v>
      </c>
      <c r="H167" t="str">
        <f>_xlfn.XLOOKUP(TRIM(D167),對應!D:D,對應!E:E,"未對應")</f>
        <v>1網通+技鋼</v>
      </c>
    </row>
    <row r="168" spans="1:8" x14ac:dyDescent="0.4">
      <c r="A168" t="s">
        <v>41</v>
      </c>
      <c r="B168">
        <v>2025</v>
      </c>
      <c r="C168">
        <v>9</v>
      </c>
      <c r="D168" t="s">
        <v>8</v>
      </c>
      <c r="E168" t="s">
        <v>33</v>
      </c>
      <c r="F168">
        <v>-1137978</v>
      </c>
      <c r="G168" s="3" t="s">
        <v>9</v>
      </c>
      <c r="H168" t="str">
        <f>_xlfn.XLOOKUP(TRIM(D168),對應!D:D,對應!E:E,"未對應")</f>
        <v>1網通+技鋼</v>
      </c>
    </row>
    <row r="169" spans="1:8" x14ac:dyDescent="0.4">
      <c r="A169" t="s">
        <v>41</v>
      </c>
      <c r="B169">
        <v>2025</v>
      </c>
      <c r="C169">
        <v>9</v>
      </c>
      <c r="D169" t="s">
        <v>8</v>
      </c>
      <c r="E169" t="s">
        <v>33</v>
      </c>
      <c r="F169">
        <v>-143459</v>
      </c>
      <c r="G169" s="3" t="s">
        <v>9</v>
      </c>
      <c r="H169" t="str">
        <f>_xlfn.XLOOKUP(TRIM(D169),對應!D:D,對應!E:E,"未對應")</f>
        <v>1網通+技鋼</v>
      </c>
    </row>
    <row r="170" spans="1:8" x14ac:dyDescent="0.4">
      <c r="A170" t="s">
        <v>23</v>
      </c>
      <c r="B170">
        <v>2025</v>
      </c>
      <c r="C170">
        <v>1</v>
      </c>
      <c r="D170" t="s">
        <v>10</v>
      </c>
      <c r="E170" t="s">
        <v>21</v>
      </c>
      <c r="F170">
        <v>-791586876</v>
      </c>
      <c r="G170" s="3" t="s">
        <v>22</v>
      </c>
      <c r="H170" t="str">
        <f>_xlfn.XLOOKUP(TRIM(D170),對應!D:D,對應!E:E,"未對應")</f>
        <v>3通路方案</v>
      </c>
    </row>
    <row r="171" spans="1:8" x14ac:dyDescent="0.4">
      <c r="A171" t="s">
        <v>23</v>
      </c>
      <c r="B171">
        <v>2025</v>
      </c>
      <c r="C171">
        <v>1</v>
      </c>
      <c r="D171" t="s">
        <v>17</v>
      </c>
      <c r="E171" t="s">
        <v>18</v>
      </c>
      <c r="F171">
        <v>-6880452</v>
      </c>
      <c r="G171" s="3" t="s">
        <v>19</v>
      </c>
      <c r="H171" t="str">
        <f>_xlfn.XLOOKUP(TRIM(D171),對應!D:D,對應!E:E,"未對應")</f>
        <v>4筆電+盈嘉</v>
      </c>
    </row>
    <row r="172" spans="1:8" x14ac:dyDescent="0.4">
      <c r="A172" t="s">
        <v>23</v>
      </c>
      <c r="B172">
        <v>2025</v>
      </c>
      <c r="C172">
        <v>1</v>
      </c>
      <c r="D172" t="s">
        <v>10</v>
      </c>
      <c r="E172" t="s">
        <v>26</v>
      </c>
      <c r="F172">
        <v>-19467</v>
      </c>
      <c r="G172" s="3" t="s">
        <v>14</v>
      </c>
      <c r="H172" t="str">
        <f>_xlfn.XLOOKUP(TRIM(D172),對應!D:D,對應!E:E,"未對應")</f>
        <v>3通路方案</v>
      </c>
    </row>
    <row r="173" spans="1:8" x14ac:dyDescent="0.4">
      <c r="A173" t="s">
        <v>23</v>
      </c>
      <c r="B173">
        <v>2025</v>
      </c>
      <c r="C173">
        <v>2</v>
      </c>
      <c r="D173" t="s">
        <v>10</v>
      </c>
      <c r="E173" t="s">
        <v>16</v>
      </c>
      <c r="F173">
        <v>-2011</v>
      </c>
      <c r="G173" s="3" t="s">
        <v>16</v>
      </c>
      <c r="H173" t="str">
        <f>_xlfn.XLOOKUP(TRIM(D173),對應!D:D,對應!E:E,"未對應")</f>
        <v>3通路方案</v>
      </c>
    </row>
    <row r="174" spans="1:8" x14ac:dyDescent="0.4">
      <c r="A174" t="s">
        <v>23</v>
      </c>
      <c r="B174">
        <v>2025</v>
      </c>
      <c r="C174">
        <v>2</v>
      </c>
      <c r="D174" t="s">
        <v>10</v>
      </c>
      <c r="E174" t="s">
        <v>29</v>
      </c>
      <c r="F174">
        <v>-12319988</v>
      </c>
      <c r="G174" s="3" t="s">
        <v>12</v>
      </c>
      <c r="H174" t="str">
        <f>_xlfn.XLOOKUP(TRIM(D174),對應!D:D,對應!E:E,"未對應")</f>
        <v>3通路方案</v>
      </c>
    </row>
    <row r="175" spans="1:8" x14ac:dyDescent="0.4">
      <c r="A175" t="s">
        <v>23</v>
      </c>
      <c r="B175">
        <v>2025</v>
      </c>
      <c r="C175">
        <v>2</v>
      </c>
      <c r="D175" t="s">
        <v>10</v>
      </c>
      <c r="E175" t="s">
        <v>30</v>
      </c>
      <c r="F175">
        <v>-1716389</v>
      </c>
      <c r="G175" s="3" t="s">
        <v>12</v>
      </c>
      <c r="H175" t="str">
        <f>_xlfn.XLOOKUP(TRIM(D175),對應!D:D,對應!E:E,"未對應")</f>
        <v>3通路方案</v>
      </c>
    </row>
    <row r="176" spans="1:8" x14ac:dyDescent="0.4">
      <c r="A176" t="s">
        <v>23</v>
      </c>
      <c r="B176">
        <v>2025</v>
      </c>
      <c r="C176">
        <v>2</v>
      </c>
      <c r="D176" t="s">
        <v>10</v>
      </c>
      <c r="E176" t="s">
        <v>21</v>
      </c>
      <c r="F176">
        <v>-1588420838</v>
      </c>
      <c r="G176" s="3" t="s">
        <v>22</v>
      </c>
      <c r="H176" t="str">
        <f>_xlfn.XLOOKUP(TRIM(D176),對應!D:D,對應!E:E,"未對應")</f>
        <v>3通路方案</v>
      </c>
    </row>
    <row r="177" spans="1:8" x14ac:dyDescent="0.4">
      <c r="A177" t="s">
        <v>23</v>
      </c>
      <c r="B177">
        <v>2025</v>
      </c>
      <c r="C177">
        <v>2</v>
      </c>
      <c r="D177" t="s">
        <v>10</v>
      </c>
      <c r="E177" t="s">
        <v>26</v>
      </c>
      <c r="F177">
        <v>-1034200</v>
      </c>
      <c r="G177" s="3" t="s">
        <v>14</v>
      </c>
      <c r="H177" t="str">
        <f>_xlfn.XLOOKUP(TRIM(D177),對應!D:D,對應!E:E,"未對應")</f>
        <v>3通路方案</v>
      </c>
    </row>
    <row r="178" spans="1:8" x14ac:dyDescent="0.4">
      <c r="A178" t="s">
        <v>23</v>
      </c>
      <c r="B178">
        <v>2025</v>
      </c>
      <c r="C178">
        <v>2</v>
      </c>
      <c r="D178" t="s">
        <v>10</v>
      </c>
      <c r="E178" t="s">
        <v>20</v>
      </c>
      <c r="F178">
        <v>-62197</v>
      </c>
      <c r="G178" s="3" t="s">
        <v>12</v>
      </c>
      <c r="H178" t="str">
        <f>_xlfn.XLOOKUP(TRIM(D178),對應!D:D,對應!E:E,"未對應")</f>
        <v>3通路方案</v>
      </c>
    </row>
    <row r="179" spans="1:8" x14ac:dyDescent="0.4">
      <c r="A179" t="s">
        <v>23</v>
      </c>
      <c r="B179">
        <v>2025</v>
      </c>
      <c r="C179">
        <v>3</v>
      </c>
      <c r="D179" t="s">
        <v>10</v>
      </c>
      <c r="E179" t="s">
        <v>11</v>
      </c>
      <c r="F179">
        <v>-8551448</v>
      </c>
      <c r="G179" s="3" t="s">
        <v>12</v>
      </c>
      <c r="H179" t="str">
        <f>_xlfn.XLOOKUP(TRIM(D179),對應!D:D,對應!E:E,"未對應")</f>
        <v>3通路方案</v>
      </c>
    </row>
    <row r="180" spans="1:8" x14ac:dyDescent="0.4">
      <c r="A180" t="s">
        <v>23</v>
      </c>
      <c r="B180">
        <v>2025</v>
      </c>
      <c r="C180">
        <v>3</v>
      </c>
      <c r="D180" t="s">
        <v>10</v>
      </c>
      <c r="E180" t="s">
        <v>11</v>
      </c>
      <c r="F180">
        <v>-10821620</v>
      </c>
      <c r="G180" s="3" t="s">
        <v>12</v>
      </c>
      <c r="H180" t="str">
        <f>_xlfn.XLOOKUP(TRIM(D180),對應!D:D,對應!E:E,"未對應")</f>
        <v>3通路方案</v>
      </c>
    </row>
    <row r="181" spans="1:8" x14ac:dyDescent="0.4">
      <c r="A181" t="s">
        <v>23</v>
      </c>
      <c r="B181">
        <v>2025</v>
      </c>
      <c r="C181">
        <v>3</v>
      </c>
      <c r="D181" t="s">
        <v>17</v>
      </c>
      <c r="E181" t="s">
        <v>18</v>
      </c>
      <c r="F181">
        <v>-3977</v>
      </c>
      <c r="G181" s="3" t="s">
        <v>19</v>
      </c>
      <c r="H181" t="str">
        <f>_xlfn.XLOOKUP(TRIM(D181),對應!D:D,對應!E:E,"未對應")</f>
        <v>4筆電+盈嘉</v>
      </c>
    </row>
    <row r="182" spans="1:8" x14ac:dyDescent="0.4">
      <c r="A182" t="s">
        <v>23</v>
      </c>
      <c r="B182">
        <v>2025</v>
      </c>
      <c r="C182">
        <v>4</v>
      </c>
      <c r="D182" t="s">
        <v>10</v>
      </c>
      <c r="E182" t="s">
        <v>21</v>
      </c>
      <c r="F182">
        <v>-2935928222</v>
      </c>
      <c r="G182" s="3" t="s">
        <v>22</v>
      </c>
      <c r="H182" t="str">
        <f>_xlfn.XLOOKUP(TRIM(D182),對應!D:D,對應!E:E,"未對應")</f>
        <v>3通路方案</v>
      </c>
    </row>
    <row r="183" spans="1:8" x14ac:dyDescent="0.4">
      <c r="A183" t="s">
        <v>23</v>
      </c>
      <c r="B183">
        <v>2025</v>
      </c>
      <c r="C183">
        <v>4</v>
      </c>
      <c r="D183" t="s">
        <v>10</v>
      </c>
      <c r="E183" t="s">
        <v>11</v>
      </c>
      <c r="F183">
        <v>99546</v>
      </c>
      <c r="G183" s="3" t="s">
        <v>12</v>
      </c>
      <c r="H183" t="str">
        <f>_xlfn.XLOOKUP(TRIM(D183),對應!D:D,對應!E:E,"未對應")</f>
        <v>3通路方案</v>
      </c>
    </row>
    <row r="184" spans="1:8" x14ac:dyDescent="0.4">
      <c r="A184" t="s">
        <v>23</v>
      </c>
      <c r="B184">
        <v>2025</v>
      </c>
      <c r="C184">
        <v>5</v>
      </c>
      <c r="D184" t="s">
        <v>10</v>
      </c>
      <c r="E184" t="s">
        <v>29</v>
      </c>
      <c r="F184">
        <v>-110398</v>
      </c>
      <c r="G184" s="3" t="s">
        <v>12</v>
      </c>
      <c r="H184" t="str">
        <f>_xlfn.XLOOKUP(TRIM(D184),對應!D:D,對應!E:E,"未對應")</f>
        <v>3通路方案</v>
      </c>
    </row>
    <row r="185" spans="1:8" x14ac:dyDescent="0.4">
      <c r="A185" t="s">
        <v>23</v>
      </c>
      <c r="B185">
        <v>2025</v>
      </c>
      <c r="C185">
        <v>5</v>
      </c>
      <c r="D185" t="s">
        <v>10</v>
      </c>
      <c r="E185" t="s">
        <v>30</v>
      </c>
      <c r="F185">
        <v>-7513375</v>
      </c>
      <c r="G185" s="3" t="s">
        <v>12</v>
      </c>
      <c r="H185" t="str">
        <f>_xlfn.XLOOKUP(TRIM(D185),對應!D:D,對應!E:E,"未對應")</f>
        <v>3通路方案</v>
      </c>
    </row>
    <row r="186" spans="1:8" x14ac:dyDescent="0.4">
      <c r="A186" t="s">
        <v>23</v>
      </c>
      <c r="B186">
        <v>2025</v>
      </c>
      <c r="C186">
        <v>5</v>
      </c>
      <c r="D186" t="s">
        <v>10</v>
      </c>
      <c r="E186" t="s">
        <v>21</v>
      </c>
      <c r="F186">
        <v>-1683371869</v>
      </c>
      <c r="G186" s="3" t="s">
        <v>22</v>
      </c>
      <c r="H186" t="str">
        <f>_xlfn.XLOOKUP(TRIM(D186),對應!D:D,對應!E:E,"未對應")</f>
        <v>3通路方案</v>
      </c>
    </row>
    <row r="187" spans="1:8" x14ac:dyDescent="0.4">
      <c r="A187" t="s">
        <v>23</v>
      </c>
      <c r="B187">
        <v>2025</v>
      </c>
      <c r="C187">
        <v>5</v>
      </c>
      <c r="D187" t="s">
        <v>10</v>
      </c>
      <c r="E187" t="s">
        <v>20</v>
      </c>
      <c r="F187">
        <v>-628265</v>
      </c>
      <c r="G187" s="3" t="s">
        <v>12</v>
      </c>
      <c r="H187" t="str">
        <f>_xlfn.XLOOKUP(TRIM(D187),對應!D:D,對應!E:E,"未對應")</f>
        <v>3通路方案</v>
      </c>
    </row>
    <row r="188" spans="1:8" x14ac:dyDescent="0.4">
      <c r="A188" t="s">
        <v>23</v>
      </c>
      <c r="B188">
        <v>2025</v>
      </c>
      <c r="C188">
        <v>6</v>
      </c>
      <c r="D188" t="s">
        <v>10</v>
      </c>
      <c r="E188" t="s">
        <v>11</v>
      </c>
      <c r="F188">
        <v>-3391994</v>
      </c>
      <c r="G188" s="3" t="s">
        <v>12</v>
      </c>
      <c r="H188" t="str">
        <f>_xlfn.XLOOKUP(TRIM(D188),對應!D:D,對應!E:E,"未對應")</f>
        <v>3通路方案</v>
      </c>
    </row>
    <row r="189" spans="1:8" x14ac:dyDescent="0.4">
      <c r="A189" t="s">
        <v>23</v>
      </c>
      <c r="B189">
        <v>2025</v>
      </c>
      <c r="C189">
        <v>6</v>
      </c>
      <c r="D189" t="s">
        <v>10</v>
      </c>
      <c r="E189" t="s">
        <v>24</v>
      </c>
      <c r="F189">
        <v>-408941157</v>
      </c>
      <c r="G189" s="3" t="s">
        <v>14</v>
      </c>
      <c r="H189" t="str">
        <f>_xlfn.XLOOKUP(TRIM(D189),對應!D:D,對應!E:E,"未對應")</f>
        <v>3通路方案</v>
      </c>
    </row>
    <row r="190" spans="1:8" x14ac:dyDescent="0.4">
      <c r="A190" t="s">
        <v>23</v>
      </c>
      <c r="B190">
        <v>2025</v>
      </c>
      <c r="C190">
        <v>6</v>
      </c>
      <c r="D190" t="s">
        <v>17</v>
      </c>
      <c r="E190" t="s">
        <v>18</v>
      </c>
      <c r="F190">
        <v>-5873320</v>
      </c>
      <c r="G190" s="3" t="s">
        <v>19</v>
      </c>
      <c r="H190" t="str">
        <f>_xlfn.XLOOKUP(TRIM(D190),對應!D:D,對應!E:E,"未對應")</f>
        <v>4筆電+盈嘉</v>
      </c>
    </row>
    <row r="191" spans="1:8" x14ac:dyDescent="0.4">
      <c r="A191" t="s">
        <v>23</v>
      </c>
      <c r="B191">
        <v>2025</v>
      </c>
      <c r="C191">
        <v>6</v>
      </c>
      <c r="D191" t="s">
        <v>10</v>
      </c>
      <c r="E191" t="s">
        <v>27</v>
      </c>
      <c r="F191">
        <v>-6569081</v>
      </c>
      <c r="G191" s="3" t="s">
        <v>28</v>
      </c>
      <c r="H191" t="str">
        <f>_xlfn.XLOOKUP(TRIM(D191),對應!D:D,對應!E:E,"未對應")</f>
        <v>3通路方案</v>
      </c>
    </row>
    <row r="192" spans="1:8" x14ac:dyDescent="0.4">
      <c r="A192" t="s">
        <v>23</v>
      </c>
      <c r="B192">
        <v>2025</v>
      </c>
      <c r="C192">
        <v>6</v>
      </c>
      <c r="D192" t="s">
        <v>17</v>
      </c>
      <c r="E192" t="s">
        <v>18</v>
      </c>
      <c r="F192">
        <v>-3430058</v>
      </c>
      <c r="G192" s="3" t="s">
        <v>19</v>
      </c>
      <c r="H192" t="str">
        <f>_xlfn.XLOOKUP(TRIM(D192),對應!D:D,對應!E:E,"未對應")</f>
        <v>4筆電+盈嘉</v>
      </c>
    </row>
    <row r="193" spans="1:8" x14ac:dyDescent="0.4">
      <c r="A193" t="s">
        <v>43</v>
      </c>
      <c r="B193">
        <v>2025</v>
      </c>
      <c r="C193">
        <v>9</v>
      </c>
      <c r="D193" t="s">
        <v>10</v>
      </c>
      <c r="E193" t="s">
        <v>27</v>
      </c>
      <c r="F193">
        <v>25657726</v>
      </c>
      <c r="G193" s="3" t="s">
        <v>28</v>
      </c>
      <c r="H193" t="str">
        <f>_xlfn.XLOOKUP(TRIM(D193),對應!D:D,對應!E:E,"未對應")</f>
        <v>3通路方案</v>
      </c>
    </row>
    <row r="194" spans="1:8" x14ac:dyDescent="0.4">
      <c r="A194" t="s">
        <v>43</v>
      </c>
      <c r="B194">
        <v>2025</v>
      </c>
      <c r="C194">
        <v>9</v>
      </c>
      <c r="D194" t="s">
        <v>10</v>
      </c>
      <c r="E194" t="s">
        <v>16</v>
      </c>
      <c r="F194">
        <v>805</v>
      </c>
      <c r="G194" s="3" t="s">
        <v>16</v>
      </c>
      <c r="H194" t="str">
        <f>_xlfn.XLOOKUP(TRIM(D194),對應!D:D,對應!E:E,"未對應")</f>
        <v>3通路方案</v>
      </c>
    </row>
    <row r="195" spans="1:8" x14ac:dyDescent="0.4">
      <c r="A195" t="s">
        <v>43</v>
      </c>
      <c r="B195">
        <v>2025</v>
      </c>
      <c r="C195">
        <v>9</v>
      </c>
      <c r="D195" t="s">
        <v>10</v>
      </c>
      <c r="E195" t="s">
        <v>21</v>
      </c>
      <c r="F195">
        <v>2096966298</v>
      </c>
      <c r="G195" s="3" t="s">
        <v>22</v>
      </c>
      <c r="H195" t="str">
        <f>_xlfn.XLOOKUP(TRIM(D195),對應!D:D,對應!E:E,"未對應")</f>
        <v>3通路方案</v>
      </c>
    </row>
    <row r="196" spans="1:8" x14ac:dyDescent="0.4">
      <c r="A196" t="s">
        <v>43</v>
      </c>
      <c r="B196">
        <v>2025</v>
      </c>
      <c r="C196">
        <v>9</v>
      </c>
      <c r="D196" t="s">
        <v>8</v>
      </c>
      <c r="E196" t="s">
        <v>33</v>
      </c>
      <c r="F196">
        <v>21022002</v>
      </c>
      <c r="G196" s="3" t="s">
        <v>9</v>
      </c>
      <c r="H196" t="str">
        <f>_xlfn.XLOOKUP(TRIM(D196),對應!D:D,對應!E:E,"未對應")</f>
        <v>1網通+技鋼</v>
      </c>
    </row>
    <row r="197" spans="1:8" x14ac:dyDescent="0.4">
      <c r="A197" t="s">
        <v>43</v>
      </c>
      <c r="B197">
        <v>2025</v>
      </c>
      <c r="C197">
        <v>9</v>
      </c>
      <c r="D197" t="s">
        <v>32</v>
      </c>
      <c r="E197" t="s">
        <v>16</v>
      </c>
      <c r="F197">
        <v>6219829</v>
      </c>
      <c r="G197" s="3" t="s">
        <v>32</v>
      </c>
      <c r="H197" t="str">
        <f>_xlfn.XLOOKUP(TRIM(D197),對應!D:D,對應!E:E,"未對應")</f>
        <v>5百事益</v>
      </c>
    </row>
    <row r="198" spans="1:8" x14ac:dyDescent="0.4">
      <c r="A198" t="s">
        <v>43</v>
      </c>
      <c r="B198">
        <v>2025</v>
      </c>
      <c r="C198">
        <v>9</v>
      </c>
      <c r="D198" t="s">
        <v>10</v>
      </c>
      <c r="E198" t="s">
        <v>16</v>
      </c>
      <c r="F198">
        <v>3851377</v>
      </c>
      <c r="G198" s="3" t="s">
        <v>16</v>
      </c>
      <c r="H198" t="str">
        <f>_xlfn.XLOOKUP(TRIM(D198),對應!D:D,對應!E:E,"未對應")</f>
        <v>3通路方案</v>
      </c>
    </row>
    <row r="199" spans="1:8" x14ac:dyDescent="0.4">
      <c r="A199" t="s">
        <v>7</v>
      </c>
      <c r="B199">
        <v>2025</v>
      </c>
      <c r="C199">
        <v>1</v>
      </c>
      <c r="D199" t="s">
        <v>17</v>
      </c>
      <c r="E199" t="s">
        <v>18</v>
      </c>
      <c r="F199">
        <v>396244574</v>
      </c>
      <c r="G199" s="3" t="s">
        <v>19</v>
      </c>
      <c r="H199" t="str">
        <f>_xlfn.XLOOKUP(TRIM(D199),對應!D:D,對應!E:E,"未對應")</f>
        <v>4筆電+盈嘉</v>
      </c>
    </row>
    <row r="200" spans="1:8" x14ac:dyDescent="0.4">
      <c r="A200" t="s">
        <v>7</v>
      </c>
      <c r="B200">
        <v>2025</v>
      </c>
      <c r="C200">
        <v>1</v>
      </c>
      <c r="D200" t="s">
        <v>10</v>
      </c>
      <c r="E200" t="s">
        <v>20</v>
      </c>
      <c r="F200">
        <v>17511417</v>
      </c>
      <c r="G200" s="3" t="s">
        <v>12</v>
      </c>
      <c r="H200" t="str">
        <f>_xlfn.XLOOKUP(TRIM(D200),對應!D:D,對應!E:E,"未對應")</f>
        <v>3通路方案</v>
      </c>
    </row>
    <row r="201" spans="1:8" x14ac:dyDescent="0.4">
      <c r="A201" t="s">
        <v>7</v>
      </c>
      <c r="B201">
        <v>2025</v>
      </c>
      <c r="C201">
        <v>1</v>
      </c>
      <c r="D201" t="s">
        <v>10</v>
      </c>
      <c r="E201" t="s">
        <v>27</v>
      </c>
      <c r="F201">
        <v>219232722</v>
      </c>
      <c r="G201" s="3" t="s">
        <v>28</v>
      </c>
      <c r="H201" t="str">
        <f>_xlfn.XLOOKUP(TRIM(D201),對應!D:D,對應!E:E,"未對應")</f>
        <v>3通路方案</v>
      </c>
    </row>
    <row r="202" spans="1:8" x14ac:dyDescent="0.4">
      <c r="A202" t="s">
        <v>7</v>
      </c>
      <c r="B202">
        <v>2025</v>
      </c>
      <c r="C202">
        <v>1</v>
      </c>
      <c r="D202" t="s">
        <v>10</v>
      </c>
      <c r="E202" t="s">
        <v>21</v>
      </c>
      <c r="F202">
        <v>3286987028</v>
      </c>
      <c r="G202" s="3" t="s">
        <v>22</v>
      </c>
      <c r="H202" t="str">
        <f>_xlfn.XLOOKUP(TRIM(D202),對應!D:D,對應!E:E,"未對應")</f>
        <v>3通路方案</v>
      </c>
    </row>
    <row r="203" spans="1:8" x14ac:dyDescent="0.4">
      <c r="A203" t="s">
        <v>7</v>
      </c>
      <c r="B203">
        <v>2025</v>
      </c>
      <c r="C203">
        <v>2</v>
      </c>
      <c r="D203" t="s">
        <v>10</v>
      </c>
      <c r="E203" t="s">
        <v>11</v>
      </c>
      <c r="F203">
        <v>94924205</v>
      </c>
      <c r="G203" s="3" t="s">
        <v>12</v>
      </c>
      <c r="H203" t="str">
        <f>_xlfn.XLOOKUP(TRIM(D203),對應!D:D,對應!E:E,"未對應")</f>
        <v>3通路方案</v>
      </c>
    </row>
    <row r="204" spans="1:8" x14ac:dyDescent="0.4">
      <c r="A204" t="s">
        <v>7</v>
      </c>
      <c r="B204">
        <v>2025</v>
      </c>
      <c r="C204">
        <v>4</v>
      </c>
      <c r="D204" t="s">
        <v>10</v>
      </c>
      <c r="E204" t="s">
        <v>27</v>
      </c>
      <c r="F204">
        <v>211603271</v>
      </c>
      <c r="G204" s="3" t="s">
        <v>28</v>
      </c>
      <c r="H204" t="str">
        <f>_xlfn.XLOOKUP(TRIM(D204),對應!D:D,對應!E:E,"未對應")</f>
        <v>3通路方案</v>
      </c>
    </row>
    <row r="205" spans="1:8" x14ac:dyDescent="0.4">
      <c r="A205" t="s">
        <v>7</v>
      </c>
      <c r="B205">
        <v>2025</v>
      </c>
      <c r="C205">
        <v>4</v>
      </c>
      <c r="D205" t="s">
        <v>10</v>
      </c>
      <c r="E205" t="s">
        <v>21</v>
      </c>
      <c r="F205">
        <v>9618497757</v>
      </c>
      <c r="G205" s="3" t="s">
        <v>22</v>
      </c>
      <c r="H205" t="str">
        <f>_xlfn.XLOOKUP(TRIM(D205),對應!D:D,對應!E:E,"未對應")</f>
        <v>3通路方案</v>
      </c>
    </row>
    <row r="206" spans="1:8" x14ac:dyDescent="0.4">
      <c r="A206" t="s">
        <v>7</v>
      </c>
      <c r="B206">
        <v>2025</v>
      </c>
      <c r="C206">
        <v>5</v>
      </c>
      <c r="D206" t="s">
        <v>10</v>
      </c>
      <c r="E206" t="s">
        <v>11</v>
      </c>
      <c r="F206">
        <v>76407922</v>
      </c>
      <c r="G206" s="3" t="s">
        <v>12</v>
      </c>
      <c r="H206" t="str">
        <f>_xlfn.XLOOKUP(TRIM(D206),對應!D:D,對應!E:E,"未對應")</f>
        <v>3通路方案</v>
      </c>
    </row>
    <row r="207" spans="1:8" x14ac:dyDescent="0.4">
      <c r="A207" t="s">
        <v>23</v>
      </c>
      <c r="B207">
        <v>2025</v>
      </c>
      <c r="C207">
        <v>6</v>
      </c>
      <c r="D207" t="s">
        <v>10</v>
      </c>
      <c r="E207" t="s">
        <v>16</v>
      </c>
      <c r="F207">
        <v>-60</v>
      </c>
      <c r="G207" s="3" t="s">
        <v>16</v>
      </c>
      <c r="H207" t="str">
        <f>_xlfn.XLOOKUP(TRIM(D207),對應!D:D,對應!E:E,"未對應")</f>
        <v>3通路方案</v>
      </c>
    </row>
    <row r="208" spans="1:8" x14ac:dyDescent="0.4">
      <c r="A208" t="s">
        <v>31</v>
      </c>
      <c r="B208">
        <v>2025</v>
      </c>
      <c r="C208">
        <v>5</v>
      </c>
      <c r="D208" t="s">
        <v>10</v>
      </c>
      <c r="E208" t="s">
        <v>16</v>
      </c>
      <c r="F208">
        <v>-414187</v>
      </c>
      <c r="G208" s="3" t="s">
        <v>16</v>
      </c>
      <c r="H208" t="str">
        <f>_xlfn.XLOOKUP(TRIM(D208),對應!D:D,對應!E:E,"未對應")</f>
        <v>3通路方案</v>
      </c>
    </row>
    <row r="209" spans="1:8" x14ac:dyDescent="0.4">
      <c r="A209" t="s">
        <v>31</v>
      </c>
      <c r="B209">
        <v>2025</v>
      </c>
      <c r="C209">
        <v>6</v>
      </c>
      <c r="D209" t="s">
        <v>10</v>
      </c>
      <c r="E209" t="s">
        <v>24</v>
      </c>
      <c r="F209">
        <v>-1763202</v>
      </c>
      <c r="G209" s="3" t="s">
        <v>14</v>
      </c>
      <c r="H209" t="str">
        <f>_xlfn.XLOOKUP(TRIM(D209),對應!D:D,對應!E:E,"未對應")</f>
        <v>3通路方案</v>
      </c>
    </row>
    <row r="210" spans="1:8" x14ac:dyDescent="0.4">
      <c r="A210" t="s">
        <v>31</v>
      </c>
      <c r="B210">
        <v>2025</v>
      </c>
      <c r="C210">
        <v>6</v>
      </c>
      <c r="D210" t="s">
        <v>32</v>
      </c>
      <c r="E210" t="s">
        <v>16</v>
      </c>
      <c r="F210">
        <v>-6377773</v>
      </c>
      <c r="G210" s="3" t="s">
        <v>32</v>
      </c>
      <c r="H210" t="str">
        <f>_xlfn.XLOOKUP(TRIM(D210),對應!D:D,對應!E:E,"未對應")</f>
        <v>5百事益</v>
      </c>
    </row>
    <row r="211" spans="1:8" x14ac:dyDescent="0.4">
      <c r="A211" t="s">
        <v>31</v>
      </c>
      <c r="B211">
        <v>2025</v>
      </c>
      <c r="C211">
        <v>6</v>
      </c>
      <c r="D211" t="s">
        <v>32</v>
      </c>
      <c r="E211" t="s">
        <v>16</v>
      </c>
      <c r="F211">
        <v>-39172</v>
      </c>
      <c r="G211" s="3" t="s">
        <v>32</v>
      </c>
      <c r="H211" t="str">
        <f>_xlfn.XLOOKUP(TRIM(D211),對應!D:D,對應!E:E,"未對應")</f>
        <v>5百事益</v>
      </c>
    </row>
    <row r="212" spans="1:8" x14ac:dyDescent="0.4">
      <c r="A212" t="s">
        <v>31</v>
      </c>
      <c r="B212">
        <v>2025</v>
      </c>
      <c r="C212">
        <v>6</v>
      </c>
      <c r="D212" t="s">
        <v>17</v>
      </c>
      <c r="E212" t="s">
        <v>18</v>
      </c>
      <c r="F212">
        <v>-35254</v>
      </c>
      <c r="G212" s="3" t="s">
        <v>19</v>
      </c>
      <c r="H212" t="str">
        <f>_xlfn.XLOOKUP(TRIM(D212),對應!D:D,對應!E:E,"未對應")</f>
        <v>4筆電+盈嘉</v>
      </c>
    </row>
    <row r="213" spans="1:8" x14ac:dyDescent="0.4">
      <c r="A213" t="s">
        <v>31</v>
      </c>
      <c r="B213">
        <v>2025</v>
      </c>
      <c r="C213">
        <v>6</v>
      </c>
      <c r="D213" t="s">
        <v>10</v>
      </c>
      <c r="E213" t="s">
        <v>24</v>
      </c>
      <c r="F213">
        <v>-10116803</v>
      </c>
      <c r="G213" s="3" t="s">
        <v>14</v>
      </c>
      <c r="H213" t="str">
        <f>_xlfn.XLOOKUP(TRIM(D213),對應!D:D,對應!E:E,"未對應")</f>
        <v>3通路方案</v>
      </c>
    </row>
    <row r="214" spans="1:8" x14ac:dyDescent="0.4">
      <c r="A214" t="s">
        <v>31</v>
      </c>
      <c r="B214">
        <v>2025</v>
      </c>
      <c r="C214">
        <v>6</v>
      </c>
      <c r="D214" t="s">
        <v>10</v>
      </c>
      <c r="E214" t="s">
        <v>13</v>
      </c>
      <c r="F214">
        <v>-718</v>
      </c>
      <c r="G214" s="3" t="s">
        <v>14</v>
      </c>
      <c r="H214" t="str">
        <f>_xlfn.XLOOKUP(TRIM(D214),對應!D:D,對應!E:E,"未對應")</f>
        <v>3通路方案</v>
      </c>
    </row>
    <row r="215" spans="1:8" x14ac:dyDescent="0.4">
      <c r="A215" t="s">
        <v>31</v>
      </c>
      <c r="B215">
        <v>2025</v>
      </c>
      <c r="C215">
        <v>6</v>
      </c>
      <c r="D215" t="s">
        <v>8</v>
      </c>
      <c r="E215" t="s">
        <v>33</v>
      </c>
      <c r="F215">
        <v>-7832410</v>
      </c>
      <c r="G215" s="3" t="s">
        <v>9</v>
      </c>
      <c r="H215" t="str">
        <f>_xlfn.XLOOKUP(TRIM(D215),對應!D:D,對應!E:E,"未對應")</f>
        <v>1網通+技鋼</v>
      </c>
    </row>
    <row r="216" spans="1:8" x14ac:dyDescent="0.4">
      <c r="A216" t="s">
        <v>41</v>
      </c>
      <c r="B216">
        <v>2025</v>
      </c>
      <c r="C216">
        <v>9</v>
      </c>
      <c r="D216" t="s">
        <v>32</v>
      </c>
      <c r="E216" t="s">
        <v>16</v>
      </c>
      <c r="F216">
        <v>-62021003</v>
      </c>
      <c r="G216" s="3" t="s">
        <v>32</v>
      </c>
      <c r="H216" t="str">
        <f>_xlfn.XLOOKUP(TRIM(D216),對應!D:D,對應!E:E,"未對應")</f>
        <v>5百事益</v>
      </c>
    </row>
    <row r="217" spans="1:8" x14ac:dyDescent="0.4">
      <c r="A217" t="s">
        <v>41</v>
      </c>
      <c r="B217">
        <v>2025</v>
      </c>
      <c r="C217">
        <v>9</v>
      </c>
      <c r="D217" t="s">
        <v>32</v>
      </c>
      <c r="E217" t="s">
        <v>16</v>
      </c>
      <c r="F217">
        <v>-1031399</v>
      </c>
      <c r="G217" s="3" t="s">
        <v>32</v>
      </c>
      <c r="H217" t="str">
        <f>_xlfn.XLOOKUP(TRIM(D217),對應!D:D,對應!E:E,"未對應")</f>
        <v>5百事益</v>
      </c>
    </row>
    <row r="218" spans="1:8" x14ac:dyDescent="0.4">
      <c r="A218" t="s">
        <v>41</v>
      </c>
      <c r="B218">
        <v>2025</v>
      </c>
      <c r="C218">
        <v>9</v>
      </c>
      <c r="D218" t="s">
        <v>32</v>
      </c>
      <c r="E218" t="s">
        <v>16</v>
      </c>
      <c r="F218">
        <v>-90308</v>
      </c>
      <c r="G218" s="3" t="s">
        <v>32</v>
      </c>
      <c r="H218" t="str">
        <f>_xlfn.XLOOKUP(TRIM(D218),對應!D:D,對應!E:E,"未對應")</f>
        <v>5百事益</v>
      </c>
    </row>
    <row r="219" spans="1:8" x14ac:dyDescent="0.4">
      <c r="A219" t="s">
        <v>41</v>
      </c>
      <c r="B219">
        <v>2025</v>
      </c>
      <c r="C219">
        <v>9</v>
      </c>
      <c r="D219" t="s">
        <v>32</v>
      </c>
      <c r="E219" t="s">
        <v>16</v>
      </c>
      <c r="F219">
        <v>-13405810</v>
      </c>
      <c r="G219" s="3" t="s">
        <v>32</v>
      </c>
      <c r="H219" t="str">
        <f>_xlfn.XLOOKUP(TRIM(D219),對應!D:D,對應!E:E,"未對應")</f>
        <v>5百事益</v>
      </c>
    </row>
    <row r="220" spans="1:8" x14ac:dyDescent="0.4">
      <c r="A220" t="s">
        <v>41</v>
      </c>
      <c r="B220">
        <v>2025</v>
      </c>
      <c r="C220">
        <v>9</v>
      </c>
      <c r="D220" t="s">
        <v>32</v>
      </c>
      <c r="E220" t="s">
        <v>16</v>
      </c>
      <c r="F220">
        <v>-31037</v>
      </c>
      <c r="G220" s="3" t="s">
        <v>32</v>
      </c>
      <c r="H220" t="str">
        <f>_xlfn.XLOOKUP(TRIM(D220),對應!D:D,對應!E:E,"未對應")</f>
        <v>5百事益</v>
      </c>
    </row>
    <row r="221" spans="1:8" x14ac:dyDescent="0.4">
      <c r="A221" t="s">
        <v>36</v>
      </c>
      <c r="B221">
        <v>2025</v>
      </c>
      <c r="C221">
        <v>1</v>
      </c>
      <c r="D221" t="s">
        <v>32</v>
      </c>
      <c r="E221" t="s">
        <v>16</v>
      </c>
      <c r="F221">
        <v>106763834</v>
      </c>
      <c r="G221" s="3" t="s">
        <v>32</v>
      </c>
      <c r="H221" t="str">
        <f>_xlfn.XLOOKUP(TRIM(D221),對應!D:D,對應!E:E,"未對應")</f>
        <v>5百事益</v>
      </c>
    </row>
    <row r="222" spans="1:8" x14ac:dyDescent="0.4">
      <c r="A222" t="s">
        <v>36</v>
      </c>
      <c r="B222">
        <v>2025</v>
      </c>
      <c r="C222">
        <v>2</v>
      </c>
      <c r="D222" t="s">
        <v>15</v>
      </c>
      <c r="E222" t="s">
        <v>16</v>
      </c>
      <c r="F222">
        <v>8680319</v>
      </c>
      <c r="G222" s="3" t="s">
        <v>16</v>
      </c>
      <c r="H222" t="str">
        <f>_xlfn.XLOOKUP(TRIM(D222),對應!D:D,對應!E:E,"未對應")</f>
        <v>7製造</v>
      </c>
    </row>
    <row r="223" spans="1:8" x14ac:dyDescent="0.4">
      <c r="A223" t="s">
        <v>36</v>
      </c>
      <c r="B223">
        <v>2025</v>
      </c>
      <c r="C223">
        <v>4</v>
      </c>
      <c r="D223" t="s">
        <v>32</v>
      </c>
      <c r="E223" t="s">
        <v>16</v>
      </c>
      <c r="F223">
        <v>79821404</v>
      </c>
      <c r="G223" s="3" t="s">
        <v>32</v>
      </c>
      <c r="H223" t="str">
        <f>_xlfn.XLOOKUP(TRIM(D223),對應!D:D,對應!E:E,"未對應")</f>
        <v>5百事益</v>
      </c>
    </row>
    <row r="224" spans="1:8" x14ac:dyDescent="0.4">
      <c r="A224" t="s">
        <v>36</v>
      </c>
      <c r="B224">
        <v>2025</v>
      </c>
      <c r="C224">
        <v>5</v>
      </c>
      <c r="D224" t="s">
        <v>15</v>
      </c>
      <c r="E224" t="s">
        <v>16</v>
      </c>
      <c r="F224">
        <v>9533115</v>
      </c>
      <c r="G224" s="3" t="s">
        <v>16</v>
      </c>
      <c r="H224" t="str">
        <f>_xlfn.XLOOKUP(TRIM(D224),對應!D:D,對應!E:E,"未對應")</f>
        <v>7製造</v>
      </c>
    </row>
    <row r="225" spans="1:8" x14ac:dyDescent="0.4">
      <c r="A225" t="s">
        <v>23</v>
      </c>
      <c r="B225">
        <v>2025</v>
      </c>
      <c r="C225">
        <v>3</v>
      </c>
      <c r="D225" t="s">
        <v>10</v>
      </c>
      <c r="E225" t="s">
        <v>27</v>
      </c>
      <c r="F225">
        <v>-77561356</v>
      </c>
      <c r="G225" s="3" t="s">
        <v>28</v>
      </c>
      <c r="H225" t="str">
        <f>_xlfn.XLOOKUP(TRIM(D225),對應!D:D,對應!E:E,"未對應")</f>
        <v>3通路方案</v>
      </c>
    </row>
    <row r="226" spans="1:8" x14ac:dyDescent="0.4">
      <c r="A226" t="s">
        <v>23</v>
      </c>
      <c r="B226">
        <v>2025</v>
      </c>
      <c r="C226">
        <v>3</v>
      </c>
      <c r="D226" t="s">
        <v>10</v>
      </c>
      <c r="E226" t="s">
        <v>38</v>
      </c>
      <c r="F226">
        <v>492300</v>
      </c>
      <c r="G226" s="3" t="s">
        <v>12</v>
      </c>
      <c r="H226" t="str">
        <f>_xlfn.XLOOKUP(TRIM(D226),對應!D:D,對應!E:E,"未對應")</f>
        <v>3通路方案</v>
      </c>
    </row>
    <row r="227" spans="1:8" x14ac:dyDescent="0.4">
      <c r="A227" t="s">
        <v>23</v>
      </c>
      <c r="B227">
        <v>2025</v>
      </c>
      <c r="C227">
        <v>3</v>
      </c>
      <c r="D227" t="s">
        <v>10</v>
      </c>
      <c r="E227" t="s">
        <v>26</v>
      </c>
      <c r="F227">
        <v>-989101</v>
      </c>
      <c r="G227" s="3" t="s">
        <v>14</v>
      </c>
      <c r="H227" t="str">
        <f>_xlfn.XLOOKUP(TRIM(D227),對應!D:D,對應!E:E,"未對應")</f>
        <v>3通路方案</v>
      </c>
    </row>
    <row r="228" spans="1:8" x14ac:dyDescent="0.4">
      <c r="A228" t="s">
        <v>23</v>
      </c>
      <c r="B228">
        <v>2025</v>
      </c>
      <c r="C228">
        <v>3</v>
      </c>
      <c r="D228" t="s">
        <v>10</v>
      </c>
      <c r="E228" t="s">
        <v>21</v>
      </c>
      <c r="F228">
        <v>-78923618</v>
      </c>
      <c r="G228" s="3" t="s">
        <v>22</v>
      </c>
      <c r="H228" t="str">
        <f>_xlfn.XLOOKUP(TRIM(D228),對應!D:D,對應!E:E,"未對應")</f>
        <v>3通路方案</v>
      </c>
    </row>
    <row r="229" spans="1:8" x14ac:dyDescent="0.4">
      <c r="A229" t="s">
        <v>23</v>
      </c>
      <c r="B229">
        <v>2025</v>
      </c>
      <c r="C229">
        <v>3</v>
      </c>
      <c r="D229" t="s">
        <v>15</v>
      </c>
      <c r="E229" t="s">
        <v>16</v>
      </c>
      <c r="F229">
        <v>-1357206</v>
      </c>
      <c r="G229" s="3" t="s">
        <v>16</v>
      </c>
      <c r="H229" t="str">
        <f>_xlfn.XLOOKUP(TRIM(D229),對應!D:D,對應!E:E,"未對應")</f>
        <v>7製造</v>
      </c>
    </row>
    <row r="230" spans="1:8" x14ac:dyDescent="0.4">
      <c r="A230" t="s">
        <v>23</v>
      </c>
      <c r="B230">
        <v>2025</v>
      </c>
      <c r="C230">
        <v>4</v>
      </c>
      <c r="D230" t="s">
        <v>10</v>
      </c>
      <c r="E230" t="s">
        <v>20</v>
      </c>
      <c r="F230">
        <v>-273058</v>
      </c>
      <c r="G230" s="3" t="s">
        <v>12</v>
      </c>
      <c r="H230" t="str">
        <f>_xlfn.XLOOKUP(TRIM(D230),對應!D:D,對應!E:E,"未對應")</f>
        <v>3通路方案</v>
      </c>
    </row>
    <row r="231" spans="1:8" x14ac:dyDescent="0.4">
      <c r="A231" t="s">
        <v>23</v>
      </c>
      <c r="B231">
        <v>2025</v>
      </c>
      <c r="C231">
        <v>4</v>
      </c>
      <c r="D231" t="s">
        <v>10</v>
      </c>
      <c r="E231" t="s">
        <v>20</v>
      </c>
      <c r="F231">
        <v>-363742</v>
      </c>
      <c r="G231" s="3" t="s">
        <v>12</v>
      </c>
      <c r="H231" t="str">
        <f>_xlfn.XLOOKUP(TRIM(D231),對應!D:D,對應!E:E,"未對應")</f>
        <v>3通路方案</v>
      </c>
    </row>
    <row r="232" spans="1:8" x14ac:dyDescent="0.4">
      <c r="A232" t="s">
        <v>23</v>
      </c>
      <c r="B232">
        <v>2025</v>
      </c>
      <c r="C232">
        <v>4</v>
      </c>
      <c r="D232" t="s">
        <v>10</v>
      </c>
      <c r="E232" t="s">
        <v>24</v>
      </c>
      <c r="F232">
        <v>-8106516</v>
      </c>
      <c r="G232" s="3" t="s">
        <v>14</v>
      </c>
      <c r="H232" t="str">
        <f>_xlfn.XLOOKUP(TRIM(D232),對應!D:D,對應!E:E,"未對應")</f>
        <v>3通路方案</v>
      </c>
    </row>
    <row r="233" spans="1:8" x14ac:dyDescent="0.4">
      <c r="A233" t="s">
        <v>23</v>
      </c>
      <c r="B233">
        <v>2025</v>
      </c>
      <c r="C233">
        <v>5</v>
      </c>
      <c r="D233" t="s">
        <v>10</v>
      </c>
      <c r="E233" t="s">
        <v>26</v>
      </c>
      <c r="F233">
        <v>-2404861</v>
      </c>
      <c r="G233" s="3" t="s">
        <v>14</v>
      </c>
      <c r="H233" t="str">
        <f>_xlfn.XLOOKUP(TRIM(D233),對應!D:D,對應!E:E,"未對應")</f>
        <v>3通路方案</v>
      </c>
    </row>
    <row r="234" spans="1:8" x14ac:dyDescent="0.4">
      <c r="A234" t="s">
        <v>23</v>
      </c>
      <c r="B234">
        <v>2025</v>
      </c>
      <c r="C234">
        <v>5</v>
      </c>
      <c r="D234" t="s">
        <v>10</v>
      </c>
      <c r="E234" t="s">
        <v>26</v>
      </c>
      <c r="F234">
        <v>-1607265</v>
      </c>
      <c r="G234" s="3" t="s">
        <v>14</v>
      </c>
      <c r="H234" t="str">
        <f>_xlfn.XLOOKUP(TRIM(D234),對應!D:D,對應!E:E,"未對應")</f>
        <v>3通路方案</v>
      </c>
    </row>
    <row r="235" spans="1:8" x14ac:dyDescent="0.4">
      <c r="A235" t="s">
        <v>23</v>
      </c>
      <c r="B235">
        <v>2025</v>
      </c>
      <c r="C235">
        <v>5</v>
      </c>
      <c r="D235" t="s">
        <v>10</v>
      </c>
      <c r="E235" t="s">
        <v>30</v>
      </c>
      <c r="F235">
        <v>-42417</v>
      </c>
      <c r="G235" s="3" t="s">
        <v>12</v>
      </c>
      <c r="H235" t="str">
        <f>_xlfn.XLOOKUP(TRIM(D235),對應!D:D,對應!E:E,"未對應")</f>
        <v>3通路方案</v>
      </c>
    </row>
    <row r="236" spans="1:8" x14ac:dyDescent="0.4">
      <c r="A236" t="s">
        <v>23</v>
      </c>
      <c r="B236">
        <v>2025</v>
      </c>
      <c r="C236">
        <v>5</v>
      </c>
      <c r="D236" t="s">
        <v>10</v>
      </c>
      <c r="E236" t="s">
        <v>16</v>
      </c>
      <c r="F236">
        <v>-4990166</v>
      </c>
      <c r="G236" s="3" t="s">
        <v>16</v>
      </c>
      <c r="H236" t="str">
        <f>_xlfn.XLOOKUP(TRIM(D236),對應!D:D,對應!E:E,"未對應")</f>
        <v>3通路方案</v>
      </c>
    </row>
    <row r="237" spans="1:8" x14ac:dyDescent="0.4">
      <c r="A237" t="s">
        <v>23</v>
      </c>
      <c r="B237">
        <v>2025</v>
      </c>
      <c r="C237">
        <v>6</v>
      </c>
      <c r="D237" t="s">
        <v>15</v>
      </c>
      <c r="E237" t="s">
        <v>16</v>
      </c>
      <c r="F237">
        <v>-1244473</v>
      </c>
      <c r="G237" s="3" t="s">
        <v>16</v>
      </c>
      <c r="H237" t="str">
        <f>_xlfn.XLOOKUP(TRIM(D237),對應!D:D,對應!E:E,"未對應")</f>
        <v>7製造</v>
      </c>
    </row>
    <row r="238" spans="1:8" x14ac:dyDescent="0.4">
      <c r="A238" t="s">
        <v>23</v>
      </c>
      <c r="B238">
        <v>2025</v>
      </c>
      <c r="C238">
        <v>6</v>
      </c>
      <c r="D238" t="s">
        <v>15</v>
      </c>
      <c r="E238" t="s">
        <v>16</v>
      </c>
      <c r="F238">
        <v>-8045995</v>
      </c>
      <c r="G238" s="3" t="s">
        <v>16</v>
      </c>
      <c r="H238" t="str">
        <f>_xlfn.XLOOKUP(TRIM(D238),對應!D:D,對應!E:E,"未對應")</f>
        <v>7製造</v>
      </c>
    </row>
    <row r="239" spans="1:8" x14ac:dyDescent="0.4">
      <c r="A239" t="s">
        <v>23</v>
      </c>
      <c r="B239">
        <v>2025</v>
      </c>
      <c r="C239">
        <v>6</v>
      </c>
      <c r="D239" t="s">
        <v>10</v>
      </c>
      <c r="E239" t="s">
        <v>27</v>
      </c>
      <c r="F239">
        <v>-2601962</v>
      </c>
      <c r="G239" s="3" t="s">
        <v>28</v>
      </c>
      <c r="H239" t="str">
        <f>_xlfn.XLOOKUP(TRIM(D239),對應!D:D,對應!E:E,"未對應")</f>
        <v>3通路方案</v>
      </c>
    </row>
    <row r="240" spans="1:8" x14ac:dyDescent="0.4">
      <c r="A240" t="s">
        <v>23</v>
      </c>
      <c r="B240">
        <v>2025</v>
      </c>
      <c r="C240">
        <v>6</v>
      </c>
      <c r="D240" t="s">
        <v>10</v>
      </c>
      <c r="E240" t="s">
        <v>11</v>
      </c>
      <c r="F240">
        <v>-5212766</v>
      </c>
      <c r="G240" s="3" t="s">
        <v>12</v>
      </c>
      <c r="H240" t="str">
        <f>_xlfn.XLOOKUP(TRIM(D240),對應!D:D,對應!E:E,"未對應")</f>
        <v>3通路方案</v>
      </c>
    </row>
    <row r="241" spans="1:8" x14ac:dyDescent="0.4">
      <c r="A241" t="s">
        <v>23</v>
      </c>
      <c r="B241">
        <v>2025</v>
      </c>
      <c r="C241">
        <v>6</v>
      </c>
      <c r="D241" t="s">
        <v>10</v>
      </c>
      <c r="E241" t="s">
        <v>26</v>
      </c>
      <c r="F241">
        <v>-1801184</v>
      </c>
      <c r="G241" s="3" t="s">
        <v>14</v>
      </c>
      <c r="H241" t="str">
        <f>_xlfn.XLOOKUP(TRIM(D241),對應!D:D,對應!E:E,"未對應")</f>
        <v>3通路方案</v>
      </c>
    </row>
    <row r="242" spans="1:8" x14ac:dyDescent="0.4">
      <c r="A242" t="s">
        <v>23</v>
      </c>
      <c r="B242">
        <v>2025</v>
      </c>
      <c r="C242">
        <v>6</v>
      </c>
      <c r="D242" t="s">
        <v>10</v>
      </c>
      <c r="E242" t="s">
        <v>21</v>
      </c>
      <c r="F242">
        <v>-42796255</v>
      </c>
      <c r="G242" s="3" t="s">
        <v>22</v>
      </c>
      <c r="H242" t="str">
        <f>_xlfn.XLOOKUP(TRIM(D242),對應!D:D,對應!E:E,"未對應")</f>
        <v>3通路方案</v>
      </c>
    </row>
    <row r="243" spans="1:8" x14ac:dyDescent="0.4">
      <c r="A243" t="s">
        <v>23</v>
      </c>
      <c r="B243">
        <v>2025</v>
      </c>
      <c r="C243">
        <v>6</v>
      </c>
      <c r="D243" t="s">
        <v>15</v>
      </c>
      <c r="E243" t="s">
        <v>16</v>
      </c>
      <c r="F243">
        <v>-2134161</v>
      </c>
      <c r="G243" s="3" t="s">
        <v>16</v>
      </c>
      <c r="H243" t="str">
        <f>_xlfn.XLOOKUP(TRIM(D243),對應!D:D,對應!E:E,"未對應")</f>
        <v>7製造</v>
      </c>
    </row>
    <row r="244" spans="1:8" x14ac:dyDescent="0.4">
      <c r="A244" t="s">
        <v>7</v>
      </c>
      <c r="B244">
        <v>2025</v>
      </c>
      <c r="C244">
        <v>10</v>
      </c>
      <c r="D244" t="s">
        <v>15</v>
      </c>
      <c r="E244" t="s">
        <v>16</v>
      </c>
      <c r="F244">
        <v>288983</v>
      </c>
      <c r="G244" s="3" t="s">
        <v>16</v>
      </c>
      <c r="H244" t="str">
        <f>_xlfn.XLOOKUP(TRIM(D244),對應!D:D,對應!E:E,"未對應")</f>
        <v>7製造</v>
      </c>
    </row>
    <row r="245" spans="1:8" x14ac:dyDescent="0.4">
      <c r="A245" t="s">
        <v>7</v>
      </c>
      <c r="B245">
        <v>2025</v>
      </c>
      <c r="C245">
        <v>10</v>
      </c>
      <c r="D245" t="s">
        <v>15</v>
      </c>
      <c r="E245" t="s">
        <v>16</v>
      </c>
      <c r="F245">
        <v>34280</v>
      </c>
      <c r="G245" s="3" t="s">
        <v>16</v>
      </c>
      <c r="H245" t="str">
        <f>_xlfn.XLOOKUP(TRIM(D245),對應!D:D,對應!E:E,"未對應")</f>
        <v>7製造</v>
      </c>
    </row>
    <row r="246" spans="1:8" x14ac:dyDescent="0.4">
      <c r="A246" t="s">
        <v>7</v>
      </c>
      <c r="B246">
        <v>2025</v>
      </c>
      <c r="C246">
        <v>10</v>
      </c>
      <c r="D246" t="s">
        <v>17</v>
      </c>
      <c r="E246" t="s">
        <v>18</v>
      </c>
      <c r="F246">
        <v>1518368051</v>
      </c>
      <c r="G246" s="3" t="s">
        <v>19</v>
      </c>
      <c r="H246" t="str">
        <f>_xlfn.XLOOKUP(TRIM(D246),對應!D:D,對應!E:E,"未對應")</f>
        <v>4筆電+盈嘉</v>
      </c>
    </row>
    <row r="247" spans="1:8" x14ac:dyDescent="0.4">
      <c r="A247" t="s">
        <v>7</v>
      </c>
      <c r="B247">
        <v>2025</v>
      </c>
      <c r="C247">
        <v>10</v>
      </c>
      <c r="D247" t="s">
        <v>10</v>
      </c>
      <c r="E247" t="s">
        <v>24</v>
      </c>
      <c r="F247">
        <v>2678095355</v>
      </c>
      <c r="G247" s="3" t="s">
        <v>14</v>
      </c>
      <c r="H247" t="str">
        <f>_xlfn.XLOOKUP(TRIM(D247),對應!D:D,對應!E:E,"未對應")</f>
        <v>3通路方案</v>
      </c>
    </row>
    <row r="248" spans="1:8" x14ac:dyDescent="0.4">
      <c r="A248" t="s">
        <v>7</v>
      </c>
      <c r="B248">
        <v>2025</v>
      </c>
      <c r="C248">
        <v>1</v>
      </c>
      <c r="D248" t="s">
        <v>10</v>
      </c>
      <c r="E248" t="s">
        <v>24</v>
      </c>
      <c r="F248">
        <v>2883180707</v>
      </c>
      <c r="G248" s="3" t="s">
        <v>14</v>
      </c>
      <c r="H248" t="str">
        <f>_xlfn.XLOOKUP(TRIM(D248),對應!D:D,對應!E:E,"未對應")</f>
        <v>3通路方案</v>
      </c>
    </row>
    <row r="249" spans="1:8" x14ac:dyDescent="0.4">
      <c r="A249" t="s">
        <v>7</v>
      </c>
      <c r="B249">
        <v>2025</v>
      </c>
      <c r="C249">
        <v>2</v>
      </c>
      <c r="D249" t="s">
        <v>15</v>
      </c>
      <c r="E249" t="s">
        <v>16</v>
      </c>
      <c r="F249">
        <v>2336618</v>
      </c>
      <c r="G249" s="3" t="s">
        <v>16</v>
      </c>
      <c r="H249" t="str">
        <f>_xlfn.XLOOKUP(TRIM(D249),對應!D:D,對應!E:E,"未對應")</f>
        <v>7製造</v>
      </c>
    </row>
    <row r="250" spans="1:8" x14ac:dyDescent="0.4">
      <c r="A250" t="s">
        <v>7</v>
      </c>
      <c r="B250">
        <v>2025</v>
      </c>
      <c r="C250">
        <v>2</v>
      </c>
      <c r="D250" t="s">
        <v>10</v>
      </c>
      <c r="E250" t="s">
        <v>29</v>
      </c>
      <c r="F250">
        <v>14111941</v>
      </c>
      <c r="G250" s="3" t="s">
        <v>12</v>
      </c>
      <c r="H250" t="str">
        <f>_xlfn.XLOOKUP(TRIM(D250),對應!D:D,對應!E:E,"未對應")</f>
        <v>3通路方案</v>
      </c>
    </row>
    <row r="251" spans="1:8" x14ac:dyDescent="0.4">
      <c r="A251" t="s">
        <v>7</v>
      </c>
      <c r="B251">
        <v>2025</v>
      </c>
      <c r="C251">
        <v>2</v>
      </c>
      <c r="D251" t="s">
        <v>10</v>
      </c>
      <c r="E251" t="s">
        <v>30</v>
      </c>
      <c r="F251">
        <v>5774690</v>
      </c>
      <c r="G251" s="3" t="s">
        <v>12</v>
      </c>
      <c r="H251" t="str">
        <f>_xlfn.XLOOKUP(TRIM(D251),對應!D:D,對應!E:E,"未對應")</f>
        <v>3通路方案</v>
      </c>
    </row>
    <row r="252" spans="1:8" x14ac:dyDescent="0.4">
      <c r="A252" t="s">
        <v>7</v>
      </c>
      <c r="B252">
        <v>2025</v>
      </c>
      <c r="C252">
        <v>3</v>
      </c>
      <c r="D252" t="s">
        <v>10</v>
      </c>
      <c r="E252" t="s">
        <v>25</v>
      </c>
      <c r="F252">
        <v>-179852</v>
      </c>
      <c r="G252" s="3" t="s">
        <v>14</v>
      </c>
      <c r="H252" t="str">
        <f>_xlfn.XLOOKUP(TRIM(D252),對應!D:D,對應!E:E,"未對應")</f>
        <v>3通路方案</v>
      </c>
    </row>
    <row r="253" spans="1:8" x14ac:dyDescent="0.4">
      <c r="A253" t="s">
        <v>7</v>
      </c>
      <c r="B253">
        <v>2025</v>
      </c>
      <c r="C253">
        <v>3</v>
      </c>
      <c r="D253" t="s">
        <v>10</v>
      </c>
      <c r="E253" t="s">
        <v>16</v>
      </c>
      <c r="F253">
        <v>17367951</v>
      </c>
      <c r="G253" s="3" t="s">
        <v>16</v>
      </c>
      <c r="H253" t="str">
        <f>_xlfn.XLOOKUP(TRIM(D253),對應!D:D,對應!E:E,"未對應")</f>
        <v>3通路方案</v>
      </c>
    </row>
    <row r="254" spans="1:8" x14ac:dyDescent="0.4">
      <c r="A254" t="s">
        <v>7</v>
      </c>
      <c r="B254">
        <v>2025</v>
      </c>
      <c r="C254">
        <v>3</v>
      </c>
      <c r="D254" t="s">
        <v>10</v>
      </c>
      <c r="E254" t="s">
        <v>38</v>
      </c>
      <c r="F254">
        <v>-549632</v>
      </c>
      <c r="G254" s="3" t="s">
        <v>12</v>
      </c>
      <c r="H254" t="str">
        <f>_xlfn.XLOOKUP(TRIM(D254),對應!D:D,對應!E:E,"未對應")</f>
        <v>3通路方案</v>
      </c>
    </row>
    <row r="255" spans="1:8" x14ac:dyDescent="0.4">
      <c r="A255" t="s">
        <v>7</v>
      </c>
      <c r="B255">
        <v>2025</v>
      </c>
      <c r="C255">
        <v>3</v>
      </c>
      <c r="D255" t="s">
        <v>10</v>
      </c>
      <c r="E255" t="s">
        <v>26</v>
      </c>
      <c r="F255">
        <v>32842109</v>
      </c>
      <c r="G255" s="3" t="s">
        <v>14</v>
      </c>
      <c r="H255" t="str">
        <f>_xlfn.XLOOKUP(TRIM(D255),對應!D:D,對應!E:E,"未對應")</f>
        <v>3通路方案</v>
      </c>
    </row>
    <row r="256" spans="1:8" x14ac:dyDescent="0.4">
      <c r="A256" t="s">
        <v>7</v>
      </c>
      <c r="B256">
        <v>2025</v>
      </c>
      <c r="C256">
        <v>5</v>
      </c>
      <c r="D256" t="s">
        <v>10</v>
      </c>
      <c r="E256" t="s">
        <v>29</v>
      </c>
      <c r="F256">
        <v>4820330</v>
      </c>
      <c r="G256" s="3" t="s">
        <v>12</v>
      </c>
      <c r="H256" t="str">
        <f>_xlfn.XLOOKUP(TRIM(D256),對應!D:D,對應!E:E,"未對應")</f>
        <v>3通路方案</v>
      </c>
    </row>
    <row r="257" spans="1:8" x14ac:dyDescent="0.4">
      <c r="A257" t="s">
        <v>7</v>
      </c>
      <c r="B257">
        <v>2025</v>
      </c>
      <c r="C257">
        <v>5</v>
      </c>
      <c r="D257" t="s">
        <v>10</v>
      </c>
      <c r="E257" t="s">
        <v>30</v>
      </c>
      <c r="F257">
        <v>15046055</v>
      </c>
      <c r="G257" s="3" t="s">
        <v>12</v>
      </c>
      <c r="H257" t="str">
        <f>_xlfn.XLOOKUP(TRIM(D257),對應!D:D,對應!E:E,"未對應")</f>
        <v>3通路方案</v>
      </c>
    </row>
    <row r="258" spans="1:8" x14ac:dyDescent="0.4">
      <c r="A258" t="s">
        <v>7</v>
      </c>
      <c r="B258">
        <v>2025</v>
      </c>
      <c r="C258">
        <v>6</v>
      </c>
      <c r="D258" t="s">
        <v>10</v>
      </c>
      <c r="E258" t="s">
        <v>25</v>
      </c>
      <c r="F258">
        <v>1343898</v>
      </c>
      <c r="G258" s="3" t="s">
        <v>14</v>
      </c>
      <c r="H258" t="str">
        <f>_xlfn.XLOOKUP(TRIM(D258),對應!D:D,對應!E:E,"未對應")</f>
        <v>3通路方案</v>
      </c>
    </row>
    <row r="259" spans="1:8" x14ac:dyDescent="0.4">
      <c r="A259" t="s">
        <v>7</v>
      </c>
      <c r="B259">
        <v>2025</v>
      </c>
      <c r="C259">
        <v>6</v>
      </c>
      <c r="D259" t="s">
        <v>10</v>
      </c>
      <c r="E259" t="s">
        <v>16</v>
      </c>
      <c r="F259">
        <v>11043961</v>
      </c>
      <c r="G259" s="3" t="s">
        <v>16</v>
      </c>
      <c r="H259" t="str">
        <f>_xlfn.XLOOKUP(TRIM(D259),對應!D:D,對應!E:E,"未對應")</f>
        <v>3通路方案</v>
      </c>
    </row>
    <row r="260" spans="1:8" x14ac:dyDescent="0.4">
      <c r="A260" t="s">
        <v>7</v>
      </c>
      <c r="B260">
        <v>2025</v>
      </c>
      <c r="C260">
        <v>6</v>
      </c>
      <c r="D260" t="s">
        <v>10</v>
      </c>
      <c r="E260" t="s">
        <v>26</v>
      </c>
      <c r="F260">
        <v>17629895</v>
      </c>
      <c r="G260" s="3" t="s">
        <v>14</v>
      </c>
      <c r="H260" t="str">
        <f>_xlfn.XLOOKUP(TRIM(D260),對應!D:D,對應!E:E,"未對應")</f>
        <v>3通路方案</v>
      </c>
    </row>
    <row r="261" spans="1:8" x14ac:dyDescent="0.4">
      <c r="A261" t="s">
        <v>7</v>
      </c>
      <c r="B261">
        <v>2025</v>
      </c>
      <c r="C261">
        <v>6</v>
      </c>
      <c r="D261" t="s">
        <v>15</v>
      </c>
      <c r="E261" t="s">
        <v>16</v>
      </c>
      <c r="F261">
        <v>82181505</v>
      </c>
      <c r="G261" s="3" t="s">
        <v>16</v>
      </c>
      <c r="H261" t="str">
        <f>_xlfn.XLOOKUP(TRIM(D261),對應!D:D,對應!E:E,"未對應")</f>
        <v>7製造</v>
      </c>
    </row>
    <row r="262" spans="1:8" x14ac:dyDescent="0.4">
      <c r="A262" t="s">
        <v>7</v>
      </c>
      <c r="B262">
        <v>2025</v>
      </c>
      <c r="C262">
        <v>9</v>
      </c>
      <c r="D262" t="s">
        <v>15</v>
      </c>
      <c r="E262" t="s">
        <v>16</v>
      </c>
      <c r="F262">
        <v>10166830</v>
      </c>
      <c r="G262" s="3" t="s">
        <v>16</v>
      </c>
      <c r="H262" t="str">
        <f>_xlfn.XLOOKUP(TRIM(D262),對應!D:D,對應!E:E,"未對應")</f>
        <v>7製造</v>
      </c>
    </row>
    <row r="263" spans="1:8" x14ac:dyDescent="0.4">
      <c r="A263" t="s">
        <v>7</v>
      </c>
      <c r="B263">
        <v>2025</v>
      </c>
      <c r="C263">
        <v>9</v>
      </c>
      <c r="D263" t="s">
        <v>15</v>
      </c>
      <c r="E263" t="s">
        <v>16</v>
      </c>
      <c r="F263">
        <v>7596262</v>
      </c>
      <c r="G263" s="3" t="s">
        <v>16</v>
      </c>
      <c r="H263" t="str">
        <f>_xlfn.XLOOKUP(TRIM(D263),對應!D:D,對應!E:E,"未對應")</f>
        <v>7製造</v>
      </c>
    </row>
    <row r="264" spans="1:8" x14ac:dyDescent="0.4">
      <c r="A264" t="s">
        <v>7</v>
      </c>
      <c r="B264">
        <v>2025</v>
      </c>
      <c r="C264">
        <v>9</v>
      </c>
      <c r="D264" t="s">
        <v>17</v>
      </c>
      <c r="E264" t="s">
        <v>18</v>
      </c>
      <c r="F264">
        <v>1111655194</v>
      </c>
      <c r="G264" s="3" t="s">
        <v>19</v>
      </c>
      <c r="H264" t="str">
        <f>_xlfn.XLOOKUP(TRIM(D264),對應!D:D,對應!E:E,"未對應")</f>
        <v>4筆電+盈嘉</v>
      </c>
    </row>
    <row r="265" spans="1:8" x14ac:dyDescent="0.4">
      <c r="A265" t="s">
        <v>7</v>
      </c>
      <c r="B265">
        <v>2025</v>
      </c>
      <c r="C265">
        <v>9</v>
      </c>
      <c r="D265" t="s">
        <v>10</v>
      </c>
      <c r="E265" t="s">
        <v>24</v>
      </c>
      <c r="F265">
        <v>2561416464</v>
      </c>
      <c r="G265" s="3" t="s">
        <v>14</v>
      </c>
      <c r="H265" t="str">
        <f>_xlfn.XLOOKUP(TRIM(D265),對應!D:D,對應!E:E,"未對應")</f>
        <v>3通路方案</v>
      </c>
    </row>
    <row r="266" spans="1:8" x14ac:dyDescent="0.4">
      <c r="A266" t="s">
        <v>44</v>
      </c>
      <c r="B266">
        <v>2025</v>
      </c>
      <c r="C266">
        <v>3</v>
      </c>
      <c r="D266" t="s">
        <v>34</v>
      </c>
      <c r="F266">
        <v>1860687</v>
      </c>
      <c r="G266" s="3" t="s">
        <v>32</v>
      </c>
      <c r="H266" t="str">
        <f>_xlfn.XLOOKUP(TRIM(D266),對應!D:D,對應!E:E,"未對應")</f>
        <v>5百事益</v>
      </c>
    </row>
    <row r="267" spans="1:8" x14ac:dyDescent="0.4">
      <c r="A267" t="s">
        <v>23</v>
      </c>
      <c r="B267">
        <v>2025</v>
      </c>
      <c r="C267">
        <v>1</v>
      </c>
      <c r="D267" t="s">
        <v>10</v>
      </c>
      <c r="E267" t="s">
        <v>20</v>
      </c>
      <c r="F267">
        <v>-121052</v>
      </c>
      <c r="G267" s="3" t="s">
        <v>12</v>
      </c>
      <c r="H267" t="str">
        <f>_xlfn.XLOOKUP(TRIM(D267),對應!D:D,對應!E:E,"未對應")</f>
        <v>3通路方案</v>
      </c>
    </row>
    <row r="268" spans="1:8" x14ac:dyDescent="0.4">
      <c r="A268" t="s">
        <v>23</v>
      </c>
      <c r="B268">
        <v>2025</v>
      </c>
      <c r="C268">
        <v>1</v>
      </c>
      <c r="D268" t="s">
        <v>10</v>
      </c>
      <c r="E268" t="s">
        <v>20</v>
      </c>
      <c r="F268">
        <v>-4825456</v>
      </c>
      <c r="G268" s="3" t="s">
        <v>12</v>
      </c>
      <c r="H268" t="str">
        <f>_xlfn.XLOOKUP(TRIM(D268),對應!D:D,對應!E:E,"未對應")</f>
        <v>3通路方案</v>
      </c>
    </row>
    <row r="269" spans="1:8" x14ac:dyDescent="0.4">
      <c r="A269" t="s">
        <v>23</v>
      </c>
      <c r="B269">
        <v>2025</v>
      </c>
      <c r="C269">
        <v>1</v>
      </c>
      <c r="D269" t="s">
        <v>10</v>
      </c>
      <c r="E269" t="s">
        <v>11</v>
      </c>
      <c r="F269">
        <v>-1841324</v>
      </c>
      <c r="G269" s="3" t="s">
        <v>12</v>
      </c>
      <c r="H269" t="str">
        <f>_xlfn.XLOOKUP(TRIM(D269),對應!D:D,對應!E:E,"未對應")</f>
        <v>3通路方案</v>
      </c>
    </row>
    <row r="270" spans="1:8" x14ac:dyDescent="0.4">
      <c r="A270" t="s">
        <v>23</v>
      </c>
      <c r="B270">
        <v>2025</v>
      </c>
      <c r="C270">
        <v>2</v>
      </c>
      <c r="D270" t="s">
        <v>10</v>
      </c>
      <c r="E270" t="s">
        <v>26</v>
      </c>
      <c r="F270">
        <v>-2220705</v>
      </c>
      <c r="G270" s="3" t="s">
        <v>14</v>
      </c>
      <c r="H270" t="str">
        <f>_xlfn.XLOOKUP(TRIM(D270),對應!D:D,對應!E:E,"未對應")</f>
        <v>3通路方案</v>
      </c>
    </row>
    <row r="271" spans="1:8" x14ac:dyDescent="0.4">
      <c r="A271" t="s">
        <v>23</v>
      </c>
      <c r="B271">
        <v>2025</v>
      </c>
      <c r="C271">
        <v>2</v>
      </c>
      <c r="D271" t="s">
        <v>10</v>
      </c>
      <c r="E271" t="s">
        <v>30</v>
      </c>
      <c r="F271">
        <v>-4648</v>
      </c>
      <c r="G271" s="3" t="s">
        <v>12</v>
      </c>
      <c r="H271" t="str">
        <f>_xlfn.XLOOKUP(TRIM(D271),對應!D:D,對應!E:E,"未對應")</f>
        <v>3通路方案</v>
      </c>
    </row>
    <row r="272" spans="1:8" x14ac:dyDescent="0.4">
      <c r="A272" t="s">
        <v>23</v>
      </c>
      <c r="B272">
        <v>2025</v>
      </c>
      <c r="C272">
        <v>2</v>
      </c>
      <c r="D272" t="s">
        <v>10</v>
      </c>
      <c r="E272" t="s">
        <v>16</v>
      </c>
      <c r="F272">
        <v>-2366390</v>
      </c>
      <c r="G272" s="3" t="s">
        <v>16</v>
      </c>
      <c r="H272" t="str">
        <f>_xlfn.XLOOKUP(TRIM(D272),對應!D:D,對應!E:E,"未對應")</f>
        <v>3通路方案</v>
      </c>
    </row>
    <row r="273" spans="1:8" x14ac:dyDescent="0.4">
      <c r="A273" t="s">
        <v>23</v>
      </c>
      <c r="B273">
        <v>2025</v>
      </c>
      <c r="C273">
        <v>3</v>
      </c>
      <c r="D273" t="s">
        <v>15</v>
      </c>
      <c r="E273" t="s">
        <v>16</v>
      </c>
      <c r="F273">
        <v>-419464</v>
      </c>
      <c r="G273" s="3" t="s">
        <v>16</v>
      </c>
      <c r="H273" t="str">
        <f>_xlfn.XLOOKUP(TRIM(D273),對應!D:D,對應!E:E,"未對應")</f>
        <v>7製造</v>
      </c>
    </row>
    <row r="274" spans="1:8" x14ac:dyDescent="0.4">
      <c r="A274" t="s">
        <v>23</v>
      </c>
      <c r="B274">
        <v>2025</v>
      </c>
      <c r="C274">
        <v>3</v>
      </c>
      <c r="D274" t="s">
        <v>15</v>
      </c>
      <c r="E274" t="s">
        <v>16</v>
      </c>
      <c r="F274">
        <v>-6898800</v>
      </c>
      <c r="G274" s="3" t="s">
        <v>16</v>
      </c>
      <c r="H274" t="str">
        <f>_xlfn.XLOOKUP(TRIM(D274),對應!D:D,對應!E:E,"未對應")</f>
        <v>7製造</v>
      </c>
    </row>
    <row r="275" spans="1:8" x14ac:dyDescent="0.4">
      <c r="A275" t="s">
        <v>23</v>
      </c>
      <c r="B275">
        <v>2025</v>
      </c>
      <c r="C275">
        <v>1</v>
      </c>
      <c r="D275" t="s">
        <v>10</v>
      </c>
      <c r="E275" t="s">
        <v>11</v>
      </c>
      <c r="F275">
        <v>-4696086</v>
      </c>
      <c r="G275" s="3" t="s">
        <v>12</v>
      </c>
      <c r="H275" t="str">
        <f>_xlfn.XLOOKUP(TRIM(D275),對應!D:D,對應!E:E,"未對應")</f>
        <v>3通路方案</v>
      </c>
    </row>
    <row r="276" spans="1:8" x14ac:dyDescent="0.4">
      <c r="A276" t="s">
        <v>23</v>
      </c>
      <c r="B276">
        <v>2025</v>
      </c>
      <c r="C276">
        <v>2</v>
      </c>
      <c r="D276" t="s">
        <v>10</v>
      </c>
      <c r="E276" t="s">
        <v>24</v>
      </c>
      <c r="F276">
        <v>-654123447</v>
      </c>
      <c r="G276" s="3" t="s">
        <v>14</v>
      </c>
      <c r="H276" t="str">
        <f>_xlfn.XLOOKUP(TRIM(D276),對應!D:D,對應!E:E,"未對應")</f>
        <v>3通路方案</v>
      </c>
    </row>
    <row r="277" spans="1:8" x14ac:dyDescent="0.4">
      <c r="A277" t="s">
        <v>23</v>
      </c>
      <c r="B277">
        <v>2025</v>
      </c>
      <c r="C277">
        <v>2</v>
      </c>
      <c r="D277" t="s">
        <v>10</v>
      </c>
      <c r="E277" t="s">
        <v>25</v>
      </c>
      <c r="F277">
        <v>-142126</v>
      </c>
      <c r="G277" s="3" t="s">
        <v>14</v>
      </c>
      <c r="H277" t="str">
        <f>_xlfn.XLOOKUP(TRIM(D277),對應!D:D,對應!E:E,"未對應")</f>
        <v>3通路方案</v>
      </c>
    </row>
    <row r="278" spans="1:8" x14ac:dyDescent="0.4">
      <c r="A278" t="s">
        <v>23</v>
      </c>
      <c r="B278">
        <v>2025</v>
      </c>
      <c r="C278">
        <v>2</v>
      </c>
      <c r="D278" t="s">
        <v>15</v>
      </c>
      <c r="E278" t="s">
        <v>16</v>
      </c>
      <c r="F278">
        <v>-227860</v>
      </c>
      <c r="G278" s="3" t="s">
        <v>16</v>
      </c>
      <c r="H278" t="str">
        <f>_xlfn.XLOOKUP(TRIM(D278),對應!D:D,對應!E:E,"未對應")</f>
        <v>7製造</v>
      </c>
    </row>
    <row r="279" spans="1:8" x14ac:dyDescent="0.4">
      <c r="A279" t="s">
        <v>23</v>
      </c>
      <c r="B279">
        <v>2025</v>
      </c>
      <c r="C279">
        <v>2</v>
      </c>
      <c r="D279" t="s">
        <v>10</v>
      </c>
      <c r="E279" t="s">
        <v>25</v>
      </c>
      <c r="F279">
        <v>261456</v>
      </c>
      <c r="G279" s="3" t="s">
        <v>14</v>
      </c>
      <c r="H279" t="str">
        <f>_xlfn.XLOOKUP(TRIM(D279),對應!D:D,對應!E:E,"未對應")</f>
        <v>3通路方案</v>
      </c>
    </row>
    <row r="280" spans="1:8" x14ac:dyDescent="0.4">
      <c r="A280" t="s">
        <v>23</v>
      </c>
      <c r="B280">
        <v>2025</v>
      </c>
      <c r="C280">
        <v>2</v>
      </c>
      <c r="D280" t="s">
        <v>10</v>
      </c>
      <c r="E280" t="s">
        <v>24</v>
      </c>
      <c r="F280">
        <v>-12395603</v>
      </c>
      <c r="G280" s="3" t="s">
        <v>14</v>
      </c>
      <c r="H280" t="str">
        <f>_xlfn.XLOOKUP(TRIM(D280),對應!D:D,對應!E:E,"未對應")</f>
        <v>3通路方案</v>
      </c>
    </row>
    <row r="281" spans="1:8" x14ac:dyDescent="0.4">
      <c r="A281" t="s">
        <v>23</v>
      </c>
      <c r="B281">
        <v>2025</v>
      </c>
      <c r="C281">
        <v>2</v>
      </c>
      <c r="D281" t="s">
        <v>17</v>
      </c>
      <c r="E281" t="s">
        <v>18</v>
      </c>
      <c r="F281">
        <v>-35783</v>
      </c>
      <c r="G281" s="3" t="s">
        <v>19</v>
      </c>
      <c r="H281" t="str">
        <f>_xlfn.XLOOKUP(TRIM(D281),對應!D:D,對應!E:E,"未對應")</f>
        <v>4筆電+盈嘉</v>
      </c>
    </row>
    <row r="282" spans="1:8" x14ac:dyDescent="0.4">
      <c r="A282" t="s">
        <v>23</v>
      </c>
      <c r="B282">
        <v>2025</v>
      </c>
      <c r="C282">
        <v>3</v>
      </c>
      <c r="D282" t="s">
        <v>10</v>
      </c>
      <c r="E282" t="s">
        <v>24</v>
      </c>
      <c r="F282">
        <v>-633963420</v>
      </c>
      <c r="G282" s="3" t="s">
        <v>14</v>
      </c>
      <c r="H282" t="str">
        <f>_xlfn.XLOOKUP(TRIM(D282),對應!D:D,對應!E:E,"未對應")</f>
        <v>3通路方案</v>
      </c>
    </row>
    <row r="283" spans="1:8" x14ac:dyDescent="0.4">
      <c r="A283" t="s">
        <v>23</v>
      </c>
      <c r="B283">
        <v>2025</v>
      </c>
      <c r="C283">
        <v>3</v>
      </c>
      <c r="D283" t="s">
        <v>10</v>
      </c>
      <c r="E283" t="s">
        <v>21</v>
      </c>
      <c r="F283">
        <v>-2024223624</v>
      </c>
      <c r="G283" s="3" t="s">
        <v>22</v>
      </c>
      <c r="H283" t="str">
        <f>_xlfn.XLOOKUP(TRIM(D283),對應!D:D,對應!E:E,"未對應")</f>
        <v>3通路方案</v>
      </c>
    </row>
    <row r="284" spans="1:8" x14ac:dyDescent="0.4">
      <c r="A284" t="s">
        <v>23</v>
      </c>
      <c r="B284">
        <v>2025</v>
      </c>
      <c r="C284">
        <v>3</v>
      </c>
      <c r="D284" t="s">
        <v>10</v>
      </c>
      <c r="E284" t="s">
        <v>26</v>
      </c>
      <c r="F284">
        <v>-1227148</v>
      </c>
      <c r="G284" s="3" t="s">
        <v>14</v>
      </c>
      <c r="H284" t="str">
        <f>_xlfn.XLOOKUP(TRIM(D284),對應!D:D,對應!E:E,"未對應")</f>
        <v>3通路方案</v>
      </c>
    </row>
    <row r="285" spans="1:8" x14ac:dyDescent="0.4">
      <c r="A285" t="s">
        <v>23</v>
      </c>
      <c r="B285">
        <v>2025</v>
      </c>
      <c r="C285">
        <v>3</v>
      </c>
      <c r="D285" t="s">
        <v>10</v>
      </c>
      <c r="E285" t="s">
        <v>27</v>
      </c>
      <c r="F285">
        <v>-2793864</v>
      </c>
      <c r="G285" s="3" t="s">
        <v>28</v>
      </c>
      <c r="H285" t="str">
        <f>_xlfn.XLOOKUP(TRIM(D285),對應!D:D,對應!E:E,"未對應")</f>
        <v>3通路方案</v>
      </c>
    </row>
    <row r="286" spans="1:8" x14ac:dyDescent="0.4">
      <c r="A286" t="s">
        <v>23</v>
      </c>
      <c r="B286">
        <v>2025</v>
      </c>
      <c r="C286">
        <v>3</v>
      </c>
      <c r="D286" t="s">
        <v>10</v>
      </c>
      <c r="E286" t="s">
        <v>11</v>
      </c>
      <c r="F286">
        <v>-375982</v>
      </c>
      <c r="G286" s="3" t="s">
        <v>12</v>
      </c>
      <c r="H286" t="str">
        <f>_xlfn.XLOOKUP(TRIM(D286),對應!D:D,對應!E:E,"未對應")</f>
        <v>3通路方案</v>
      </c>
    </row>
    <row r="287" spans="1:8" x14ac:dyDescent="0.4">
      <c r="A287" t="s">
        <v>23</v>
      </c>
      <c r="B287">
        <v>2025</v>
      </c>
      <c r="C287">
        <v>4</v>
      </c>
      <c r="D287" t="s">
        <v>10</v>
      </c>
      <c r="E287" t="s">
        <v>11</v>
      </c>
      <c r="F287">
        <v>-6318611</v>
      </c>
      <c r="G287" s="3" t="s">
        <v>12</v>
      </c>
      <c r="H287" t="str">
        <f>_xlfn.XLOOKUP(TRIM(D287),對應!D:D,對應!E:E,"未對應")</f>
        <v>3通路方案</v>
      </c>
    </row>
    <row r="288" spans="1:8" x14ac:dyDescent="0.4">
      <c r="A288" t="s">
        <v>23</v>
      </c>
      <c r="B288">
        <v>2025</v>
      </c>
      <c r="C288">
        <v>4</v>
      </c>
      <c r="D288" t="s">
        <v>10</v>
      </c>
      <c r="E288" t="s">
        <v>26</v>
      </c>
      <c r="F288">
        <v>-6487178</v>
      </c>
      <c r="G288" s="3" t="s">
        <v>14</v>
      </c>
      <c r="H288" t="str">
        <f>_xlfn.XLOOKUP(TRIM(D288),對應!D:D,對應!E:E,"未對應")</f>
        <v>3通路方案</v>
      </c>
    </row>
    <row r="289" spans="1:8" x14ac:dyDescent="0.4">
      <c r="A289" t="s">
        <v>23</v>
      </c>
      <c r="B289">
        <v>2025</v>
      </c>
      <c r="C289">
        <v>4</v>
      </c>
      <c r="D289" t="s">
        <v>10</v>
      </c>
      <c r="E289" t="s">
        <v>11</v>
      </c>
      <c r="F289">
        <v>-15046080</v>
      </c>
      <c r="G289" s="3" t="s">
        <v>12</v>
      </c>
      <c r="H289" t="str">
        <f>_xlfn.XLOOKUP(TRIM(D289),對應!D:D,對應!E:E,"未對應")</f>
        <v>3通路方案</v>
      </c>
    </row>
    <row r="290" spans="1:8" x14ac:dyDescent="0.4">
      <c r="A290" t="s">
        <v>23</v>
      </c>
      <c r="B290">
        <v>2025</v>
      </c>
      <c r="C290">
        <v>4</v>
      </c>
      <c r="D290" t="s">
        <v>10</v>
      </c>
      <c r="E290" t="s">
        <v>13</v>
      </c>
      <c r="F290">
        <v>-1024570</v>
      </c>
      <c r="G290" s="3" t="s">
        <v>14</v>
      </c>
      <c r="H290" t="str">
        <f>_xlfn.XLOOKUP(TRIM(D290),對應!D:D,對應!E:E,"未對應")</f>
        <v>3通路方案</v>
      </c>
    </row>
    <row r="291" spans="1:8" x14ac:dyDescent="0.4">
      <c r="A291" t="s">
        <v>23</v>
      </c>
      <c r="B291">
        <v>2025</v>
      </c>
      <c r="C291">
        <v>4</v>
      </c>
      <c r="D291" t="s">
        <v>10</v>
      </c>
      <c r="E291" t="s">
        <v>25</v>
      </c>
      <c r="F291">
        <v>-36344</v>
      </c>
      <c r="G291" s="3" t="s">
        <v>14</v>
      </c>
      <c r="H291" t="str">
        <f>_xlfn.XLOOKUP(TRIM(D291),對應!D:D,對應!E:E,"未對應")</f>
        <v>3通路方案</v>
      </c>
    </row>
    <row r="292" spans="1:8" x14ac:dyDescent="0.4">
      <c r="A292" t="s">
        <v>31</v>
      </c>
      <c r="B292">
        <v>2025</v>
      </c>
      <c r="C292">
        <v>1</v>
      </c>
      <c r="D292" t="s">
        <v>10</v>
      </c>
      <c r="E292" t="s">
        <v>25</v>
      </c>
      <c r="F292">
        <v>-29475</v>
      </c>
      <c r="G292" s="3" t="s">
        <v>14</v>
      </c>
      <c r="H292" t="str">
        <f>_xlfn.XLOOKUP(TRIM(D292),對應!D:D,對應!E:E,"未對應")</f>
        <v>3通路方案</v>
      </c>
    </row>
    <row r="293" spans="1:8" x14ac:dyDescent="0.4">
      <c r="A293" t="s">
        <v>31</v>
      </c>
      <c r="B293">
        <v>2025</v>
      </c>
      <c r="C293">
        <v>1</v>
      </c>
      <c r="D293" t="s">
        <v>10</v>
      </c>
      <c r="E293" t="s">
        <v>16</v>
      </c>
      <c r="F293">
        <v>-120735</v>
      </c>
      <c r="G293" s="3" t="s">
        <v>16</v>
      </c>
      <c r="H293" t="str">
        <f>_xlfn.XLOOKUP(TRIM(D293),對應!D:D,對應!E:E,"未對應")</f>
        <v>3通路方案</v>
      </c>
    </row>
    <row r="294" spans="1:8" x14ac:dyDescent="0.4">
      <c r="A294" t="s">
        <v>31</v>
      </c>
      <c r="B294">
        <v>2025</v>
      </c>
      <c r="C294">
        <v>1</v>
      </c>
      <c r="D294" t="s">
        <v>8</v>
      </c>
      <c r="E294" t="s">
        <v>33</v>
      </c>
      <c r="F294">
        <v>-6782561</v>
      </c>
      <c r="G294" s="3" t="s">
        <v>9</v>
      </c>
      <c r="H294" t="str">
        <f>_xlfn.XLOOKUP(TRIM(D294),對應!D:D,對應!E:E,"未對應")</f>
        <v>1網通+技鋼</v>
      </c>
    </row>
    <row r="295" spans="1:8" x14ac:dyDescent="0.4">
      <c r="A295" t="s">
        <v>31</v>
      </c>
      <c r="B295">
        <v>2025</v>
      </c>
      <c r="C295">
        <v>1</v>
      </c>
      <c r="D295" t="s">
        <v>32</v>
      </c>
      <c r="E295" t="s">
        <v>16</v>
      </c>
      <c r="F295">
        <v>-137236</v>
      </c>
      <c r="G295" s="3" t="s">
        <v>32</v>
      </c>
      <c r="H295" t="str">
        <f>_xlfn.XLOOKUP(TRIM(D295),對應!D:D,對應!E:E,"未對應")</f>
        <v>5百事益</v>
      </c>
    </row>
    <row r="296" spans="1:8" x14ac:dyDescent="0.4">
      <c r="A296" t="s">
        <v>31</v>
      </c>
      <c r="B296">
        <v>2025</v>
      </c>
      <c r="C296">
        <v>2</v>
      </c>
      <c r="D296" t="s">
        <v>32</v>
      </c>
      <c r="E296" t="s">
        <v>16</v>
      </c>
      <c r="F296">
        <v>-32820</v>
      </c>
      <c r="G296" s="3" t="s">
        <v>32</v>
      </c>
      <c r="H296" t="str">
        <f>_xlfn.XLOOKUP(TRIM(D296),對應!D:D,對應!E:E,"未對應")</f>
        <v>5百事益</v>
      </c>
    </row>
    <row r="297" spans="1:8" x14ac:dyDescent="0.4">
      <c r="A297" t="s">
        <v>31</v>
      </c>
      <c r="B297">
        <v>2025</v>
      </c>
      <c r="C297">
        <v>3</v>
      </c>
      <c r="D297" t="s">
        <v>10</v>
      </c>
      <c r="E297" t="s">
        <v>21</v>
      </c>
      <c r="F297">
        <v>-19046</v>
      </c>
      <c r="G297" s="3" t="s">
        <v>22</v>
      </c>
      <c r="H297" t="str">
        <f>_xlfn.XLOOKUP(TRIM(D297),對應!D:D,對應!E:E,"未對應")</f>
        <v>3通路方案</v>
      </c>
    </row>
    <row r="298" spans="1:8" x14ac:dyDescent="0.4">
      <c r="A298" t="s">
        <v>7</v>
      </c>
      <c r="B298">
        <v>2025</v>
      </c>
      <c r="C298">
        <v>2</v>
      </c>
      <c r="D298" t="s">
        <v>17</v>
      </c>
      <c r="E298" t="s">
        <v>18</v>
      </c>
      <c r="F298">
        <v>257570199</v>
      </c>
      <c r="G298" s="3" t="s">
        <v>19</v>
      </c>
      <c r="H298" t="str">
        <f>_xlfn.XLOOKUP(TRIM(D298),對應!D:D,對應!E:E,"未對應")</f>
        <v>4筆電+盈嘉</v>
      </c>
    </row>
    <row r="299" spans="1:8" x14ac:dyDescent="0.4">
      <c r="A299" t="s">
        <v>7</v>
      </c>
      <c r="B299">
        <v>2025</v>
      </c>
      <c r="C299">
        <v>2</v>
      </c>
      <c r="D299" t="s">
        <v>10</v>
      </c>
      <c r="E299" t="s">
        <v>20</v>
      </c>
      <c r="F299">
        <v>15956000</v>
      </c>
      <c r="G299" s="3" t="s">
        <v>12</v>
      </c>
      <c r="H299" t="str">
        <f>_xlfn.XLOOKUP(TRIM(D299),對應!D:D,對應!E:E,"未對應")</f>
        <v>3通路方案</v>
      </c>
    </row>
    <row r="300" spans="1:8" x14ac:dyDescent="0.4">
      <c r="A300" t="s">
        <v>7</v>
      </c>
      <c r="B300">
        <v>2025</v>
      </c>
      <c r="C300">
        <v>3</v>
      </c>
      <c r="D300" t="s">
        <v>10</v>
      </c>
      <c r="E300" t="s">
        <v>27</v>
      </c>
      <c r="F300">
        <v>359301830</v>
      </c>
      <c r="G300" s="3" t="s">
        <v>28</v>
      </c>
      <c r="H300" t="str">
        <f>_xlfn.XLOOKUP(TRIM(D300),對應!D:D,對應!E:E,"未對應")</f>
        <v>3通路方案</v>
      </c>
    </row>
    <row r="301" spans="1:8" x14ac:dyDescent="0.4">
      <c r="A301" t="s">
        <v>7</v>
      </c>
      <c r="B301">
        <v>2025</v>
      </c>
      <c r="C301">
        <v>1</v>
      </c>
      <c r="D301" t="s">
        <v>10</v>
      </c>
      <c r="E301" t="s">
        <v>13</v>
      </c>
      <c r="F301">
        <v>1471416</v>
      </c>
      <c r="G301" s="3" t="s">
        <v>14</v>
      </c>
      <c r="H301" t="str">
        <f>_xlfn.XLOOKUP(TRIM(D301),對應!D:D,對應!E:E,"未對應")</f>
        <v>3通路方案</v>
      </c>
    </row>
    <row r="302" spans="1:8" x14ac:dyDescent="0.4">
      <c r="A302" t="s">
        <v>7</v>
      </c>
      <c r="B302">
        <v>2025</v>
      </c>
      <c r="C302">
        <v>2</v>
      </c>
      <c r="D302" t="s">
        <v>10</v>
      </c>
      <c r="E302" t="s">
        <v>27</v>
      </c>
      <c r="F302">
        <v>303343539</v>
      </c>
      <c r="G302" s="3" t="s">
        <v>28</v>
      </c>
      <c r="H302" t="str">
        <f>_xlfn.XLOOKUP(TRIM(D302),對應!D:D,對應!E:E,"未對應")</f>
        <v>3通路方案</v>
      </c>
    </row>
    <row r="303" spans="1:8" x14ac:dyDescent="0.4">
      <c r="A303" t="s">
        <v>7</v>
      </c>
      <c r="B303">
        <v>2025</v>
      </c>
      <c r="C303">
        <v>2</v>
      </c>
      <c r="D303" t="s">
        <v>10</v>
      </c>
      <c r="E303" t="s">
        <v>16</v>
      </c>
      <c r="F303">
        <v>2681882</v>
      </c>
      <c r="G303" s="3" t="s">
        <v>16</v>
      </c>
      <c r="H303" t="str">
        <f>_xlfn.XLOOKUP(TRIM(D303),對應!D:D,對應!E:E,"未對應")</f>
        <v>3通路方案</v>
      </c>
    </row>
    <row r="304" spans="1:8" x14ac:dyDescent="0.4">
      <c r="A304" t="s">
        <v>7</v>
      </c>
      <c r="B304">
        <v>2025</v>
      </c>
      <c r="C304">
        <v>2</v>
      </c>
      <c r="D304" t="s">
        <v>10</v>
      </c>
      <c r="E304" t="s">
        <v>38</v>
      </c>
      <c r="F304">
        <v>-856098</v>
      </c>
      <c r="G304" s="3" t="s">
        <v>12</v>
      </c>
      <c r="H304" t="str">
        <f>_xlfn.XLOOKUP(TRIM(D304),對應!D:D,對應!E:E,"未對應")</f>
        <v>3通路方案</v>
      </c>
    </row>
    <row r="305" spans="1:8" x14ac:dyDescent="0.4">
      <c r="A305" t="s">
        <v>7</v>
      </c>
      <c r="B305">
        <v>2025</v>
      </c>
      <c r="C305">
        <v>3</v>
      </c>
      <c r="D305" t="s">
        <v>8</v>
      </c>
      <c r="E305" t="s">
        <v>33</v>
      </c>
      <c r="F305">
        <v>173124672</v>
      </c>
      <c r="G305" s="3" t="s">
        <v>9</v>
      </c>
      <c r="H305" t="str">
        <f>_xlfn.XLOOKUP(TRIM(D305),對應!D:D,對應!E:E,"未對應")</f>
        <v>1網通+技鋼</v>
      </c>
    </row>
    <row r="306" spans="1:8" x14ac:dyDescent="0.4">
      <c r="A306" t="s">
        <v>7</v>
      </c>
      <c r="B306">
        <v>2025</v>
      </c>
      <c r="C306">
        <v>4</v>
      </c>
      <c r="D306" t="s">
        <v>10</v>
      </c>
      <c r="E306" t="s">
        <v>24</v>
      </c>
      <c r="F306">
        <v>2940031485</v>
      </c>
      <c r="G306" s="3" t="s">
        <v>14</v>
      </c>
      <c r="H306" t="str">
        <f>_xlfn.XLOOKUP(TRIM(D306),對應!D:D,對應!E:E,"未對應")</f>
        <v>3通路方案</v>
      </c>
    </row>
    <row r="307" spans="1:8" x14ac:dyDescent="0.4">
      <c r="A307" t="s">
        <v>7</v>
      </c>
      <c r="B307">
        <v>2025</v>
      </c>
      <c r="C307">
        <v>4</v>
      </c>
      <c r="D307" t="s">
        <v>10</v>
      </c>
      <c r="E307" t="s">
        <v>13</v>
      </c>
      <c r="F307">
        <v>1037736</v>
      </c>
      <c r="G307" s="3" t="s">
        <v>14</v>
      </c>
      <c r="H307" t="str">
        <f>_xlfn.XLOOKUP(TRIM(D307),對應!D:D,對應!E:E,"未對應")</f>
        <v>3通路方案</v>
      </c>
    </row>
    <row r="308" spans="1:8" x14ac:dyDescent="0.4">
      <c r="A308" t="s">
        <v>7</v>
      </c>
      <c r="B308">
        <v>2025</v>
      </c>
      <c r="C308">
        <v>5</v>
      </c>
      <c r="D308" t="s">
        <v>15</v>
      </c>
      <c r="E308" t="s">
        <v>16</v>
      </c>
      <c r="F308">
        <v>1513650</v>
      </c>
      <c r="G308" s="3" t="s">
        <v>16</v>
      </c>
      <c r="H308" t="str">
        <f>_xlfn.XLOOKUP(TRIM(D308),對應!D:D,對應!E:E,"未對應")</f>
        <v>7製造</v>
      </c>
    </row>
    <row r="309" spans="1:8" x14ac:dyDescent="0.4">
      <c r="A309" t="s">
        <v>7</v>
      </c>
      <c r="B309">
        <v>2025</v>
      </c>
      <c r="C309">
        <v>5</v>
      </c>
      <c r="D309" t="s">
        <v>10</v>
      </c>
      <c r="E309" t="s">
        <v>27</v>
      </c>
      <c r="F309">
        <v>148793457</v>
      </c>
      <c r="G309" s="3" t="s">
        <v>28</v>
      </c>
      <c r="H309" t="str">
        <f>_xlfn.XLOOKUP(TRIM(D309),對應!D:D,對應!E:E,"未對應")</f>
        <v>3通路方案</v>
      </c>
    </row>
    <row r="310" spans="1:8" x14ac:dyDescent="0.4">
      <c r="A310" t="s">
        <v>7</v>
      </c>
      <c r="B310">
        <v>2025</v>
      </c>
      <c r="C310">
        <v>5</v>
      </c>
      <c r="D310" t="s">
        <v>10</v>
      </c>
      <c r="E310" t="s">
        <v>38</v>
      </c>
      <c r="F310">
        <v>-32017</v>
      </c>
      <c r="G310" s="3" t="s">
        <v>12</v>
      </c>
      <c r="H310" t="str">
        <f>_xlfn.XLOOKUP(TRIM(D310),對應!D:D,對應!E:E,"未對應")</f>
        <v>3通路方案</v>
      </c>
    </row>
    <row r="311" spans="1:8" x14ac:dyDescent="0.4">
      <c r="A311" t="s">
        <v>7</v>
      </c>
      <c r="B311">
        <v>2025</v>
      </c>
      <c r="C311">
        <v>6</v>
      </c>
      <c r="D311" t="s">
        <v>10</v>
      </c>
      <c r="E311" t="s">
        <v>30</v>
      </c>
      <c r="F311">
        <v>6711555</v>
      </c>
      <c r="G311" s="3" t="s">
        <v>12</v>
      </c>
      <c r="H311" t="str">
        <f>_xlfn.XLOOKUP(TRIM(D311),對應!D:D,對應!E:E,"未對應")</f>
        <v>3通路方案</v>
      </c>
    </row>
    <row r="312" spans="1:8" x14ac:dyDescent="0.4">
      <c r="A312" t="s">
        <v>7</v>
      </c>
      <c r="B312">
        <v>2025</v>
      </c>
      <c r="C312">
        <v>6</v>
      </c>
      <c r="D312" t="s">
        <v>8</v>
      </c>
      <c r="E312" t="s">
        <v>33</v>
      </c>
      <c r="F312">
        <v>8757093</v>
      </c>
      <c r="G312" s="3" t="s">
        <v>9</v>
      </c>
      <c r="H312" t="str">
        <f>_xlfn.XLOOKUP(TRIM(D312),對應!D:D,對應!E:E,"未對應")</f>
        <v>1網通+技鋼</v>
      </c>
    </row>
    <row r="313" spans="1:8" x14ac:dyDescent="0.4">
      <c r="A313" t="s">
        <v>31</v>
      </c>
      <c r="B313">
        <v>2025</v>
      </c>
      <c r="C313">
        <v>1</v>
      </c>
      <c r="D313" t="s">
        <v>32</v>
      </c>
      <c r="E313" t="s">
        <v>16</v>
      </c>
      <c r="F313">
        <v>-32682</v>
      </c>
      <c r="G313" s="3" t="s">
        <v>32</v>
      </c>
      <c r="H313" t="str">
        <f>_xlfn.XLOOKUP(TRIM(D313),對應!D:D,對應!E:E,"未對應")</f>
        <v>5百事益</v>
      </c>
    </row>
    <row r="314" spans="1:8" x14ac:dyDescent="0.4">
      <c r="A314" t="s">
        <v>31</v>
      </c>
      <c r="B314">
        <v>2025</v>
      </c>
      <c r="C314">
        <v>1</v>
      </c>
      <c r="D314" t="s">
        <v>32</v>
      </c>
      <c r="E314" t="s">
        <v>16</v>
      </c>
      <c r="F314">
        <v>-68807</v>
      </c>
      <c r="G314" s="3" t="s">
        <v>32</v>
      </c>
      <c r="H314" t="str">
        <f>_xlfn.XLOOKUP(TRIM(D314),對應!D:D,對應!E:E,"未對應")</f>
        <v>5百事益</v>
      </c>
    </row>
    <row r="315" spans="1:8" x14ac:dyDescent="0.4">
      <c r="A315" t="s">
        <v>31</v>
      </c>
      <c r="B315">
        <v>2025</v>
      </c>
      <c r="C315">
        <v>2</v>
      </c>
      <c r="D315" t="s">
        <v>10</v>
      </c>
      <c r="E315" t="s">
        <v>16</v>
      </c>
      <c r="F315">
        <v>-343856</v>
      </c>
      <c r="G315" s="3" t="s">
        <v>16</v>
      </c>
      <c r="H315" t="str">
        <f>_xlfn.XLOOKUP(TRIM(D315),對應!D:D,對應!E:E,"未對應")</f>
        <v>3通路方案</v>
      </c>
    </row>
    <row r="316" spans="1:8" x14ac:dyDescent="0.4">
      <c r="A316" t="s">
        <v>31</v>
      </c>
      <c r="B316">
        <v>2025</v>
      </c>
      <c r="C316">
        <v>3</v>
      </c>
      <c r="D316" t="s">
        <v>10</v>
      </c>
      <c r="E316" t="s">
        <v>21</v>
      </c>
      <c r="F316">
        <v>-254891</v>
      </c>
      <c r="G316" s="3" t="s">
        <v>22</v>
      </c>
      <c r="H316" t="str">
        <f>_xlfn.XLOOKUP(TRIM(D316),對應!D:D,對應!E:E,"未對應")</f>
        <v>3通路方案</v>
      </c>
    </row>
    <row r="317" spans="1:8" x14ac:dyDescent="0.4">
      <c r="A317" t="s">
        <v>31</v>
      </c>
      <c r="B317">
        <v>2025</v>
      </c>
      <c r="C317">
        <v>3</v>
      </c>
      <c r="D317" t="s">
        <v>32</v>
      </c>
      <c r="E317" t="s">
        <v>16</v>
      </c>
      <c r="F317">
        <v>-8554839</v>
      </c>
      <c r="G317" s="3" t="s">
        <v>32</v>
      </c>
      <c r="H317" t="str">
        <f>_xlfn.XLOOKUP(TRIM(D317),對應!D:D,對應!E:E,"未對應")</f>
        <v>5百事益</v>
      </c>
    </row>
    <row r="318" spans="1:8" x14ac:dyDescent="0.4">
      <c r="A318" t="s">
        <v>31</v>
      </c>
      <c r="B318">
        <v>2025</v>
      </c>
      <c r="C318">
        <v>3</v>
      </c>
      <c r="D318" t="s">
        <v>8</v>
      </c>
      <c r="E318" t="s">
        <v>33</v>
      </c>
      <c r="F318">
        <v>-7708311</v>
      </c>
      <c r="G318" s="3" t="s">
        <v>9</v>
      </c>
      <c r="H318" t="str">
        <f>_xlfn.XLOOKUP(TRIM(D318),對應!D:D,對應!E:E,"未對應")</f>
        <v>1網通+技鋼</v>
      </c>
    </row>
    <row r="319" spans="1:8" x14ac:dyDescent="0.4">
      <c r="A319" t="s">
        <v>31</v>
      </c>
      <c r="B319">
        <v>2025</v>
      </c>
      <c r="C319">
        <v>4</v>
      </c>
      <c r="D319" t="s">
        <v>8</v>
      </c>
      <c r="E319" t="s">
        <v>33</v>
      </c>
      <c r="F319">
        <v>-160085</v>
      </c>
      <c r="G319" s="3" t="s">
        <v>9</v>
      </c>
      <c r="H319" t="str">
        <f>_xlfn.XLOOKUP(TRIM(D319),對應!D:D,對應!E:E,"未對應")</f>
        <v>1網通+技鋼</v>
      </c>
    </row>
    <row r="320" spans="1:8" x14ac:dyDescent="0.4">
      <c r="A320" t="s">
        <v>31</v>
      </c>
      <c r="B320">
        <v>2025</v>
      </c>
      <c r="C320">
        <v>4</v>
      </c>
      <c r="D320" t="s">
        <v>32</v>
      </c>
      <c r="E320" t="s">
        <v>16</v>
      </c>
      <c r="F320">
        <v>-2496570</v>
      </c>
      <c r="G320" s="3" t="s">
        <v>32</v>
      </c>
      <c r="H320" t="str">
        <f>_xlfn.XLOOKUP(TRIM(D320),對應!D:D,對應!E:E,"未對應")</f>
        <v>5百事益</v>
      </c>
    </row>
    <row r="321" spans="1:8" x14ac:dyDescent="0.4">
      <c r="A321" t="s">
        <v>31</v>
      </c>
      <c r="B321">
        <v>2025</v>
      </c>
      <c r="C321">
        <v>4</v>
      </c>
      <c r="D321" t="s">
        <v>10</v>
      </c>
      <c r="E321" t="s">
        <v>27</v>
      </c>
      <c r="F321">
        <v>-2030262</v>
      </c>
      <c r="G321" s="3" t="s">
        <v>28</v>
      </c>
      <c r="H321" t="str">
        <f>_xlfn.XLOOKUP(TRIM(D321),對應!D:D,對應!E:E,"未對應")</f>
        <v>3通路方案</v>
      </c>
    </row>
    <row r="322" spans="1:8" x14ac:dyDescent="0.4">
      <c r="A322" t="s">
        <v>31</v>
      </c>
      <c r="B322">
        <v>2025</v>
      </c>
      <c r="C322">
        <v>4</v>
      </c>
      <c r="D322" t="s">
        <v>10</v>
      </c>
      <c r="E322" t="s">
        <v>16</v>
      </c>
      <c r="F322">
        <v>-297022</v>
      </c>
      <c r="G322" s="3" t="s">
        <v>16</v>
      </c>
      <c r="H322" t="str">
        <f>_xlfn.XLOOKUP(TRIM(D322),對應!D:D,對應!E:E,"未對應")</f>
        <v>3通路方案</v>
      </c>
    </row>
    <row r="323" spans="1:8" x14ac:dyDescent="0.4">
      <c r="A323" t="s">
        <v>31</v>
      </c>
      <c r="B323">
        <v>2025</v>
      </c>
      <c r="C323">
        <v>4</v>
      </c>
      <c r="D323" t="s">
        <v>32</v>
      </c>
      <c r="E323" t="s">
        <v>16</v>
      </c>
      <c r="F323">
        <v>-32017</v>
      </c>
      <c r="G323" s="3" t="s">
        <v>32</v>
      </c>
      <c r="H323" t="str">
        <f>_xlfn.XLOOKUP(TRIM(D323),對應!D:D,對應!E:E,"未對應")</f>
        <v>5百事益</v>
      </c>
    </row>
    <row r="324" spans="1:8" x14ac:dyDescent="0.4">
      <c r="A324" t="s">
        <v>31</v>
      </c>
      <c r="B324">
        <v>2025</v>
      </c>
      <c r="C324">
        <v>4</v>
      </c>
      <c r="D324" t="s">
        <v>10</v>
      </c>
      <c r="E324" t="s">
        <v>21</v>
      </c>
      <c r="F324">
        <v>-697971</v>
      </c>
      <c r="G324" s="3" t="s">
        <v>22</v>
      </c>
      <c r="H324" t="str">
        <f>_xlfn.XLOOKUP(TRIM(D324),對應!D:D,對應!E:E,"未對應")</f>
        <v>3通路方案</v>
      </c>
    </row>
    <row r="325" spans="1:8" x14ac:dyDescent="0.4">
      <c r="A325" t="s">
        <v>31</v>
      </c>
      <c r="B325">
        <v>2025</v>
      </c>
      <c r="C325">
        <v>5</v>
      </c>
      <c r="D325" t="s">
        <v>10</v>
      </c>
      <c r="E325" t="s">
        <v>16</v>
      </c>
      <c r="F325">
        <v>-514384</v>
      </c>
      <c r="G325" s="3" t="s">
        <v>16</v>
      </c>
      <c r="H325" t="str">
        <f>_xlfn.XLOOKUP(TRIM(D325),對應!D:D,對應!E:E,"未對應")</f>
        <v>3通路方案</v>
      </c>
    </row>
    <row r="326" spans="1:8" x14ac:dyDescent="0.4">
      <c r="A326" t="s">
        <v>45</v>
      </c>
      <c r="B326">
        <v>2025</v>
      </c>
      <c r="C326">
        <v>1</v>
      </c>
      <c r="D326" t="s">
        <v>15</v>
      </c>
      <c r="E326" t="s">
        <v>16</v>
      </c>
      <c r="F326">
        <v>790930</v>
      </c>
      <c r="G326" s="3" t="s">
        <v>16</v>
      </c>
      <c r="H326" t="str">
        <f>_xlfn.XLOOKUP(TRIM(D326),對應!D:D,對應!E:E,"未對應")</f>
        <v>7製造</v>
      </c>
    </row>
    <row r="327" spans="1:8" x14ac:dyDescent="0.4">
      <c r="A327" t="s">
        <v>45</v>
      </c>
      <c r="B327">
        <v>2025</v>
      </c>
      <c r="C327">
        <v>4</v>
      </c>
      <c r="D327" t="s">
        <v>15</v>
      </c>
      <c r="E327" t="s">
        <v>16</v>
      </c>
      <c r="F327">
        <v>170133</v>
      </c>
      <c r="G327" s="3" t="s">
        <v>16</v>
      </c>
      <c r="H327" t="str">
        <f>_xlfn.XLOOKUP(TRIM(D327),對應!D:D,對應!E:E,"未對應")</f>
        <v>7製造</v>
      </c>
    </row>
    <row r="328" spans="1:8" x14ac:dyDescent="0.4">
      <c r="A328" t="s">
        <v>36</v>
      </c>
      <c r="B328">
        <v>2025</v>
      </c>
      <c r="C328">
        <v>1</v>
      </c>
      <c r="D328" t="s">
        <v>8</v>
      </c>
      <c r="E328" t="s">
        <v>33</v>
      </c>
      <c r="F328">
        <v>8888165205</v>
      </c>
      <c r="G328" s="3" t="s">
        <v>9</v>
      </c>
      <c r="H328" t="str">
        <f>_xlfn.XLOOKUP(TRIM(D328),對應!D:D,對應!E:E,"未對應")</f>
        <v>1網通+技鋼</v>
      </c>
    </row>
    <row r="329" spans="1:8" x14ac:dyDescent="0.4">
      <c r="A329" t="s">
        <v>36</v>
      </c>
      <c r="B329">
        <v>2025</v>
      </c>
      <c r="C329">
        <v>2</v>
      </c>
      <c r="D329" t="s">
        <v>32</v>
      </c>
      <c r="E329" t="s">
        <v>16</v>
      </c>
      <c r="F329">
        <v>67702340</v>
      </c>
      <c r="G329" s="3" t="s">
        <v>32</v>
      </c>
      <c r="H329" t="str">
        <f>_xlfn.XLOOKUP(TRIM(D329),對應!D:D,對應!E:E,"未對應")</f>
        <v>5百事益</v>
      </c>
    </row>
    <row r="330" spans="1:8" x14ac:dyDescent="0.4">
      <c r="A330" t="s">
        <v>36</v>
      </c>
      <c r="B330">
        <v>2025</v>
      </c>
      <c r="C330">
        <v>5</v>
      </c>
      <c r="D330" t="s">
        <v>32</v>
      </c>
      <c r="E330" t="s">
        <v>16</v>
      </c>
      <c r="F330">
        <v>94375657</v>
      </c>
      <c r="G330" s="3" t="s">
        <v>32</v>
      </c>
      <c r="H330" t="str">
        <f>_xlfn.XLOOKUP(TRIM(D330),對應!D:D,對應!E:E,"未對應")</f>
        <v>5百事益</v>
      </c>
    </row>
    <row r="331" spans="1:8" x14ac:dyDescent="0.4">
      <c r="A331" t="s">
        <v>36</v>
      </c>
      <c r="B331">
        <v>2025</v>
      </c>
      <c r="C331">
        <v>6</v>
      </c>
      <c r="D331" t="s">
        <v>39</v>
      </c>
      <c r="E331" t="s">
        <v>40</v>
      </c>
      <c r="F331">
        <v>150813278</v>
      </c>
      <c r="G331" s="3" t="s">
        <v>42</v>
      </c>
      <c r="H331" t="str">
        <f>_xlfn.XLOOKUP(TRIM(D331),對應!D:D,對應!E:E,"未對應")</f>
        <v>2技宸</v>
      </c>
    </row>
    <row r="332" spans="1:8" x14ac:dyDescent="0.4">
      <c r="A332" t="s">
        <v>31</v>
      </c>
      <c r="B332">
        <v>2025</v>
      </c>
      <c r="C332">
        <v>5</v>
      </c>
      <c r="D332" t="s">
        <v>10</v>
      </c>
      <c r="E332" t="s">
        <v>27</v>
      </c>
      <c r="F332">
        <v>-3923123</v>
      </c>
      <c r="G332" s="3" t="s">
        <v>28</v>
      </c>
      <c r="H332" t="str">
        <f>_xlfn.XLOOKUP(TRIM(D332),對應!D:D,對應!E:E,"未對應")</f>
        <v>3通路方案</v>
      </c>
    </row>
    <row r="333" spans="1:8" x14ac:dyDescent="0.4">
      <c r="A333" t="s">
        <v>31</v>
      </c>
      <c r="B333">
        <v>2025</v>
      </c>
      <c r="C333">
        <v>5</v>
      </c>
      <c r="D333" t="s">
        <v>10</v>
      </c>
      <c r="E333" t="s">
        <v>11</v>
      </c>
      <c r="F333">
        <v>-634854</v>
      </c>
      <c r="G333" s="3" t="s">
        <v>12</v>
      </c>
      <c r="H333" t="str">
        <f>_xlfn.XLOOKUP(TRIM(D333),對應!D:D,對應!E:E,"未對應")</f>
        <v>3通路方案</v>
      </c>
    </row>
    <row r="334" spans="1:8" x14ac:dyDescent="0.4">
      <c r="A334" t="s">
        <v>31</v>
      </c>
      <c r="B334">
        <v>2025</v>
      </c>
      <c r="C334">
        <v>5</v>
      </c>
      <c r="D334" t="s">
        <v>10</v>
      </c>
      <c r="E334" t="s">
        <v>13</v>
      </c>
      <c r="F334">
        <v>-958</v>
      </c>
      <c r="G334" s="3" t="s">
        <v>14</v>
      </c>
      <c r="H334" t="str">
        <f>_xlfn.XLOOKUP(TRIM(D334),對應!D:D,對應!E:E,"未對應")</f>
        <v>3通路方案</v>
      </c>
    </row>
    <row r="335" spans="1:8" x14ac:dyDescent="0.4">
      <c r="A335" t="s">
        <v>31</v>
      </c>
      <c r="B335">
        <v>2025</v>
      </c>
      <c r="C335">
        <v>5</v>
      </c>
      <c r="D335" t="s">
        <v>8</v>
      </c>
      <c r="E335" t="s">
        <v>33</v>
      </c>
      <c r="F335">
        <v>-7497304</v>
      </c>
      <c r="G335" s="3" t="s">
        <v>9</v>
      </c>
      <c r="H335" t="str">
        <f>_xlfn.XLOOKUP(TRIM(D335),對應!D:D,對應!E:E,"未對應")</f>
        <v>1網通+技鋼</v>
      </c>
    </row>
    <row r="336" spans="1:8" x14ac:dyDescent="0.4">
      <c r="A336" t="s">
        <v>31</v>
      </c>
      <c r="B336">
        <v>2025</v>
      </c>
      <c r="C336">
        <v>5</v>
      </c>
      <c r="D336" t="s">
        <v>32</v>
      </c>
      <c r="E336" t="s">
        <v>16</v>
      </c>
      <c r="F336">
        <v>-202656</v>
      </c>
      <c r="G336" s="3" t="s">
        <v>32</v>
      </c>
      <c r="H336" t="str">
        <f>_xlfn.XLOOKUP(TRIM(D336),對應!D:D,對應!E:E,"未對應")</f>
        <v>5百事益</v>
      </c>
    </row>
    <row r="337" spans="1:8" x14ac:dyDescent="0.4">
      <c r="A337" t="s">
        <v>31</v>
      </c>
      <c r="B337">
        <v>2025</v>
      </c>
      <c r="C337">
        <v>6</v>
      </c>
      <c r="D337" t="s">
        <v>32</v>
      </c>
      <c r="E337" t="s">
        <v>16</v>
      </c>
      <c r="F337">
        <v>-29902</v>
      </c>
      <c r="G337" s="3" t="s">
        <v>32</v>
      </c>
      <c r="H337" t="str">
        <f>_xlfn.XLOOKUP(TRIM(D337),對應!D:D,對應!E:E,"未對應")</f>
        <v>5百事益</v>
      </c>
    </row>
    <row r="338" spans="1:8" x14ac:dyDescent="0.4">
      <c r="A338" t="s">
        <v>41</v>
      </c>
      <c r="B338">
        <v>2025</v>
      </c>
      <c r="C338">
        <v>8</v>
      </c>
      <c r="D338" t="s">
        <v>39</v>
      </c>
      <c r="E338" t="s">
        <v>40</v>
      </c>
      <c r="F338">
        <v>-293440</v>
      </c>
      <c r="G338" s="3" t="s">
        <v>42</v>
      </c>
      <c r="H338" t="str">
        <f>_xlfn.XLOOKUP(TRIM(D338),對應!D:D,對應!E:E,"未對應")</f>
        <v>2技宸</v>
      </c>
    </row>
    <row r="339" spans="1:8" x14ac:dyDescent="0.4">
      <c r="A339" t="s">
        <v>41</v>
      </c>
      <c r="B339">
        <v>2025</v>
      </c>
      <c r="C339">
        <v>8</v>
      </c>
      <c r="D339" t="s">
        <v>39</v>
      </c>
      <c r="E339" t="s">
        <v>40</v>
      </c>
      <c r="F339">
        <v>-4093577</v>
      </c>
      <c r="G339" s="3" t="s">
        <v>42</v>
      </c>
      <c r="H339" t="str">
        <f>_xlfn.XLOOKUP(TRIM(D339),對應!D:D,對應!E:E,"未對應")</f>
        <v>2技宸</v>
      </c>
    </row>
    <row r="340" spans="1:8" x14ac:dyDescent="0.4">
      <c r="A340" t="s">
        <v>41</v>
      </c>
      <c r="B340">
        <v>2025</v>
      </c>
      <c r="C340">
        <v>8</v>
      </c>
      <c r="D340" t="s">
        <v>39</v>
      </c>
      <c r="E340" t="s">
        <v>40</v>
      </c>
      <c r="F340">
        <v>-19964024</v>
      </c>
      <c r="G340" s="3" t="s">
        <v>42</v>
      </c>
      <c r="H340" t="str">
        <f>_xlfn.XLOOKUP(TRIM(D340),對應!D:D,對應!E:E,"未對應")</f>
        <v>2技宸</v>
      </c>
    </row>
    <row r="341" spans="1:8" x14ac:dyDescent="0.4">
      <c r="A341" t="s">
        <v>41</v>
      </c>
      <c r="B341">
        <v>2025</v>
      </c>
      <c r="C341">
        <v>8</v>
      </c>
      <c r="D341" t="s">
        <v>8</v>
      </c>
      <c r="E341" t="s">
        <v>33</v>
      </c>
      <c r="F341">
        <v>-17348150</v>
      </c>
      <c r="G341" s="3" t="s">
        <v>9</v>
      </c>
      <c r="H341" t="str">
        <f>_xlfn.XLOOKUP(TRIM(D341),對應!D:D,對應!E:E,"未對應")</f>
        <v>1網通+技鋼</v>
      </c>
    </row>
    <row r="342" spans="1:8" x14ac:dyDescent="0.4">
      <c r="A342" t="s">
        <v>23</v>
      </c>
      <c r="B342">
        <v>2025</v>
      </c>
      <c r="C342">
        <v>5</v>
      </c>
      <c r="D342" t="s">
        <v>10</v>
      </c>
      <c r="E342" t="s">
        <v>24</v>
      </c>
      <c r="F342">
        <v>-1174687656</v>
      </c>
      <c r="G342" s="3" t="s">
        <v>14</v>
      </c>
      <c r="H342" t="str">
        <f>_xlfn.XLOOKUP(TRIM(D342),對應!D:D,對應!E:E,"未對應")</f>
        <v>3通路方案</v>
      </c>
    </row>
    <row r="343" spans="1:8" x14ac:dyDescent="0.4">
      <c r="A343" t="s">
        <v>23</v>
      </c>
      <c r="B343">
        <v>2025</v>
      </c>
      <c r="C343">
        <v>5</v>
      </c>
      <c r="D343" t="s">
        <v>10</v>
      </c>
      <c r="E343" t="s">
        <v>21</v>
      </c>
      <c r="F343">
        <v>-2882920251</v>
      </c>
      <c r="G343" s="3" t="s">
        <v>22</v>
      </c>
      <c r="H343" t="str">
        <f>_xlfn.XLOOKUP(TRIM(D343),對應!D:D,對應!E:E,"未對應")</f>
        <v>3通路方案</v>
      </c>
    </row>
    <row r="344" spans="1:8" x14ac:dyDescent="0.4">
      <c r="A344" t="s">
        <v>23</v>
      </c>
      <c r="B344">
        <v>2025</v>
      </c>
      <c r="C344">
        <v>5</v>
      </c>
      <c r="D344" t="s">
        <v>15</v>
      </c>
      <c r="E344" t="s">
        <v>16</v>
      </c>
      <c r="F344">
        <v>-412827</v>
      </c>
      <c r="G344" s="3" t="s">
        <v>16</v>
      </c>
      <c r="H344" t="str">
        <f>_xlfn.XLOOKUP(TRIM(D344),對應!D:D,對應!E:E,"未對應")</f>
        <v>7製造</v>
      </c>
    </row>
    <row r="345" spans="1:8" x14ac:dyDescent="0.4">
      <c r="A345" t="s">
        <v>23</v>
      </c>
      <c r="B345">
        <v>2025</v>
      </c>
      <c r="C345">
        <v>5</v>
      </c>
      <c r="D345" t="s">
        <v>17</v>
      </c>
      <c r="E345" t="s">
        <v>18</v>
      </c>
      <c r="F345">
        <v>-571147</v>
      </c>
      <c r="G345" s="3" t="s">
        <v>19</v>
      </c>
      <c r="H345" t="str">
        <f>_xlfn.XLOOKUP(TRIM(D345),對應!D:D,對應!E:E,"未對應")</f>
        <v>4筆電+盈嘉</v>
      </c>
    </row>
    <row r="346" spans="1:8" x14ac:dyDescent="0.4">
      <c r="A346" t="s">
        <v>23</v>
      </c>
      <c r="B346">
        <v>2025</v>
      </c>
      <c r="C346">
        <v>5</v>
      </c>
      <c r="D346" t="s">
        <v>10</v>
      </c>
      <c r="E346" t="s">
        <v>24</v>
      </c>
      <c r="F346">
        <v>-19426300</v>
      </c>
      <c r="G346" s="3" t="s">
        <v>14</v>
      </c>
      <c r="H346" t="str">
        <f>_xlfn.XLOOKUP(TRIM(D346),對應!D:D,對應!E:E,"未對應")</f>
        <v>3通路方案</v>
      </c>
    </row>
    <row r="347" spans="1:8" x14ac:dyDescent="0.4">
      <c r="A347" t="s">
        <v>7</v>
      </c>
      <c r="B347">
        <v>2025</v>
      </c>
      <c r="C347">
        <v>8</v>
      </c>
      <c r="D347" t="s">
        <v>15</v>
      </c>
      <c r="E347" t="s">
        <v>16</v>
      </c>
      <c r="F347">
        <v>1194093</v>
      </c>
      <c r="G347" s="3" t="s">
        <v>16</v>
      </c>
      <c r="H347" t="str">
        <f>_xlfn.XLOOKUP(TRIM(D347),對應!D:D,對應!E:E,"未對應")</f>
        <v>7製造</v>
      </c>
    </row>
    <row r="348" spans="1:8" x14ac:dyDescent="0.4">
      <c r="A348" t="s">
        <v>7</v>
      </c>
      <c r="B348">
        <v>2025</v>
      </c>
      <c r="C348">
        <v>1</v>
      </c>
      <c r="D348" t="s">
        <v>10</v>
      </c>
      <c r="E348" t="s">
        <v>11</v>
      </c>
      <c r="F348">
        <v>103833483</v>
      </c>
      <c r="G348" s="3" t="s">
        <v>12</v>
      </c>
      <c r="H348" t="str">
        <f>_xlfn.XLOOKUP(TRIM(D348),對應!D:D,對應!E:E,"未對應")</f>
        <v>3通路方案</v>
      </c>
    </row>
    <row r="349" spans="1:8" x14ac:dyDescent="0.4">
      <c r="A349" t="s">
        <v>7</v>
      </c>
      <c r="B349">
        <v>2025</v>
      </c>
      <c r="C349">
        <v>2</v>
      </c>
      <c r="D349" t="s">
        <v>10</v>
      </c>
      <c r="E349" t="s">
        <v>25</v>
      </c>
      <c r="F349">
        <v>1173457</v>
      </c>
      <c r="G349" s="3" t="s">
        <v>14</v>
      </c>
      <c r="H349" t="str">
        <f>_xlfn.XLOOKUP(TRIM(D349),對應!D:D,對應!E:E,"未對應")</f>
        <v>3通路方案</v>
      </c>
    </row>
    <row r="350" spans="1:8" x14ac:dyDescent="0.4">
      <c r="A350" t="s">
        <v>7</v>
      </c>
      <c r="B350">
        <v>2025</v>
      </c>
      <c r="C350">
        <v>2</v>
      </c>
      <c r="D350" t="s">
        <v>10</v>
      </c>
      <c r="E350" t="s">
        <v>26</v>
      </c>
      <c r="F350">
        <v>36218412</v>
      </c>
      <c r="G350" s="3" t="s">
        <v>14</v>
      </c>
      <c r="H350" t="str">
        <f>_xlfn.XLOOKUP(TRIM(D350),對應!D:D,對應!E:E,"未對應")</f>
        <v>3通路方案</v>
      </c>
    </row>
    <row r="351" spans="1:8" x14ac:dyDescent="0.4">
      <c r="A351" t="s">
        <v>7</v>
      </c>
      <c r="B351">
        <v>2025</v>
      </c>
      <c r="C351">
        <v>2</v>
      </c>
      <c r="D351" t="s">
        <v>15</v>
      </c>
      <c r="E351" t="s">
        <v>16</v>
      </c>
      <c r="F351">
        <v>75153027</v>
      </c>
      <c r="G351" s="3" t="s">
        <v>16</v>
      </c>
      <c r="H351" t="str">
        <f>_xlfn.XLOOKUP(TRIM(D351),對應!D:D,對應!E:E,"未對應")</f>
        <v>7製造</v>
      </c>
    </row>
    <row r="352" spans="1:8" x14ac:dyDescent="0.4">
      <c r="A352" t="s">
        <v>7</v>
      </c>
      <c r="B352">
        <v>2025</v>
      </c>
      <c r="C352">
        <v>3</v>
      </c>
      <c r="D352" t="s">
        <v>10</v>
      </c>
      <c r="E352" t="s">
        <v>29</v>
      </c>
      <c r="F352">
        <v>9106422</v>
      </c>
      <c r="G352" s="3" t="s">
        <v>12</v>
      </c>
      <c r="H352" t="str">
        <f>_xlfn.XLOOKUP(TRIM(D352),對應!D:D,對應!E:E,"未對應")</f>
        <v>3通路方案</v>
      </c>
    </row>
    <row r="353" spans="1:8" x14ac:dyDescent="0.4">
      <c r="A353" t="s">
        <v>7</v>
      </c>
      <c r="B353">
        <v>2025</v>
      </c>
      <c r="C353">
        <v>3</v>
      </c>
      <c r="D353" t="s">
        <v>10</v>
      </c>
      <c r="E353" t="s">
        <v>21</v>
      </c>
      <c r="F353">
        <v>8913699961</v>
      </c>
      <c r="G353" s="3" t="s">
        <v>22</v>
      </c>
      <c r="H353" t="str">
        <f>_xlfn.XLOOKUP(TRIM(D353),對應!D:D,對應!E:E,"未對應")</f>
        <v>3通路方案</v>
      </c>
    </row>
    <row r="354" spans="1:8" x14ac:dyDescent="0.4">
      <c r="A354" t="s">
        <v>7</v>
      </c>
      <c r="B354">
        <v>2025</v>
      </c>
      <c r="C354">
        <v>4</v>
      </c>
      <c r="D354" t="s">
        <v>17</v>
      </c>
      <c r="E354" t="s">
        <v>18</v>
      </c>
      <c r="F354">
        <v>440747426</v>
      </c>
      <c r="G354" s="3" t="s">
        <v>19</v>
      </c>
      <c r="H354" t="str">
        <f>_xlfn.XLOOKUP(TRIM(D354),對應!D:D,對應!E:E,"未對應")</f>
        <v>4筆電+盈嘉</v>
      </c>
    </row>
    <row r="355" spans="1:8" x14ac:dyDescent="0.4">
      <c r="A355" t="s">
        <v>7</v>
      </c>
      <c r="B355">
        <v>2025</v>
      </c>
      <c r="C355">
        <v>4</v>
      </c>
      <c r="D355" t="s">
        <v>10</v>
      </c>
      <c r="E355" t="s">
        <v>20</v>
      </c>
      <c r="F355">
        <v>18523591</v>
      </c>
      <c r="G355" s="3" t="s">
        <v>12</v>
      </c>
      <c r="H355" t="str">
        <f>_xlfn.XLOOKUP(TRIM(D355),對應!D:D,對應!E:E,"未對應")</f>
        <v>3通路方案</v>
      </c>
    </row>
    <row r="356" spans="1:8" x14ac:dyDescent="0.4">
      <c r="A356" t="s">
        <v>7</v>
      </c>
      <c r="B356">
        <v>2025</v>
      </c>
      <c r="C356">
        <v>5</v>
      </c>
      <c r="D356" t="s">
        <v>10</v>
      </c>
      <c r="E356" t="s">
        <v>26</v>
      </c>
      <c r="F356">
        <v>31139751</v>
      </c>
      <c r="G356" s="3" t="s">
        <v>14</v>
      </c>
      <c r="H356" t="str">
        <f>_xlfn.XLOOKUP(TRIM(D356),對應!D:D,對應!E:E,"未對應")</f>
        <v>3通路方案</v>
      </c>
    </row>
    <row r="357" spans="1:8" x14ac:dyDescent="0.4">
      <c r="A357" t="s">
        <v>7</v>
      </c>
      <c r="B357">
        <v>2025</v>
      </c>
      <c r="C357">
        <v>5</v>
      </c>
      <c r="D357" t="s">
        <v>15</v>
      </c>
      <c r="E357" t="s">
        <v>16</v>
      </c>
      <c r="F357">
        <v>82361840</v>
      </c>
      <c r="G357" s="3" t="s">
        <v>16</v>
      </c>
      <c r="H357" t="str">
        <f>_xlfn.XLOOKUP(TRIM(D357),對應!D:D,對應!E:E,"未對應")</f>
        <v>7製造</v>
      </c>
    </row>
    <row r="358" spans="1:8" x14ac:dyDescent="0.4">
      <c r="A358" t="s">
        <v>7</v>
      </c>
      <c r="B358">
        <v>2025</v>
      </c>
      <c r="C358">
        <v>6</v>
      </c>
      <c r="D358" t="s">
        <v>10</v>
      </c>
      <c r="E358" t="s">
        <v>29</v>
      </c>
      <c r="F358">
        <v>14606053</v>
      </c>
      <c r="G358" s="3" t="s">
        <v>12</v>
      </c>
      <c r="H358" t="str">
        <f>_xlfn.XLOOKUP(TRIM(D358),對應!D:D,對應!E:E,"未對應")</f>
        <v>3通路方案</v>
      </c>
    </row>
    <row r="359" spans="1:8" x14ac:dyDescent="0.4">
      <c r="A359" t="s">
        <v>7</v>
      </c>
      <c r="B359">
        <v>2025</v>
      </c>
      <c r="C359">
        <v>6</v>
      </c>
      <c r="D359" t="s">
        <v>10</v>
      </c>
      <c r="E359" t="s">
        <v>21</v>
      </c>
      <c r="F359">
        <v>5054918825</v>
      </c>
      <c r="G359" s="3" t="s">
        <v>22</v>
      </c>
      <c r="H359" t="str">
        <f>_xlfn.XLOOKUP(TRIM(D359),對應!D:D,對應!E:E,"未對應")</f>
        <v>3通路方案</v>
      </c>
    </row>
    <row r="360" spans="1:8" x14ac:dyDescent="0.4">
      <c r="A360" t="s">
        <v>7</v>
      </c>
      <c r="B360">
        <v>2025</v>
      </c>
      <c r="C360">
        <v>8</v>
      </c>
      <c r="D360" t="s">
        <v>17</v>
      </c>
      <c r="E360" t="s">
        <v>18</v>
      </c>
      <c r="F360">
        <v>1105281520</v>
      </c>
      <c r="G360" s="3" t="s">
        <v>19</v>
      </c>
      <c r="H360" t="str">
        <f>_xlfn.XLOOKUP(TRIM(D360),對應!D:D,對應!E:E,"未對應")</f>
        <v>4筆電+盈嘉</v>
      </c>
    </row>
    <row r="361" spans="1:8" x14ac:dyDescent="0.4">
      <c r="A361" t="s">
        <v>7</v>
      </c>
      <c r="B361">
        <v>2025</v>
      </c>
      <c r="C361">
        <v>8</v>
      </c>
      <c r="D361" t="s">
        <v>10</v>
      </c>
      <c r="E361" t="s">
        <v>24</v>
      </c>
      <c r="F361">
        <v>2019787556</v>
      </c>
      <c r="G361" s="3" t="s">
        <v>14</v>
      </c>
      <c r="H361" t="str">
        <f>_xlfn.XLOOKUP(TRIM(D361),對應!D:D,對應!E:E,"未對應")</f>
        <v>3通路方案</v>
      </c>
    </row>
    <row r="362" spans="1:8" x14ac:dyDescent="0.4">
      <c r="A362" t="s">
        <v>7</v>
      </c>
      <c r="B362">
        <v>2025</v>
      </c>
      <c r="C362">
        <v>8</v>
      </c>
      <c r="D362" t="s">
        <v>10</v>
      </c>
      <c r="E362" t="s">
        <v>29</v>
      </c>
      <c r="F362">
        <v>7636215</v>
      </c>
      <c r="G362" s="3" t="s">
        <v>12</v>
      </c>
      <c r="H362" t="str">
        <f>_xlfn.XLOOKUP(TRIM(D362),對應!D:D,對應!E:E,"未對應")</f>
        <v>3通路方案</v>
      </c>
    </row>
    <row r="363" spans="1:8" x14ac:dyDescent="0.4">
      <c r="A363" t="s">
        <v>44</v>
      </c>
      <c r="B363">
        <v>2025</v>
      </c>
      <c r="C363">
        <v>6</v>
      </c>
      <c r="D363" t="s">
        <v>32</v>
      </c>
      <c r="F363">
        <v>15990766</v>
      </c>
      <c r="G363" s="3" t="s">
        <v>32</v>
      </c>
      <c r="H363" t="str">
        <f>_xlfn.XLOOKUP(TRIM(D363),對應!D:D,對應!E:E,"未對應")</f>
        <v>5百事益</v>
      </c>
    </row>
    <row r="364" spans="1:8" x14ac:dyDescent="0.4">
      <c r="A364" t="s">
        <v>23</v>
      </c>
      <c r="B364">
        <v>2025</v>
      </c>
      <c r="C364">
        <v>4</v>
      </c>
      <c r="D364" t="s">
        <v>10</v>
      </c>
      <c r="E364" t="s">
        <v>24</v>
      </c>
      <c r="F364">
        <v>-1290305971</v>
      </c>
      <c r="G364" s="3" t="s">
        <v>14</v>
      </c>
      <c r="H364" t="str">
        <f>_xlfn.XLOOKUP(TRIM(D364),對應!D:D,對應!E:E,"未對應")</f>
        <v>3通路方案</v>
      </c>
    </row>
    <row r="365" spans="1:8" x14ac:dyDescent="0.4">
      <c r="A365" t="s">
        <v>23</v>
      </c>
      <c r="B365">
        <v>2025</v>
      </c>
      <c r="C365">
        <v>4</v>
      </c>
      <c r="D365" t="s">
        <v>10</v>
      </c>
      <c r="E365" t="s">
        <v>16</v>
      </c>
      <c r="F365">
        <v>-2030</v>
      </c>
      <c r="G365" s="3" t="s">
        <v>16</v>
      </c>
      <c r="H365" t="str">
        <f>_xlfn.XLOOKUP(TRIM(D365),對應!D:D,對應!E:E,"未對應")</f>
        <v>3通路方案</v>
      </c>
    </row>
    <row r="366" spans="1:8" x14ac:dyDescent="0.4">
      <c r="A366" t="s">
        <v>23</v>
      </c>
      <c r="B366">
        <v>2025</v>
      </c>
      <c r="C366">
        <v>4</v>
      </c>
      <c r="D366" t="s">
        <v>10</v>
      </c>
      <c r="E366" t="s">
        <v>21</v>
      </c>
      <c r="F366">
        <v>-2000668480</v>
      </c>
      <c r="G366" s="3" t="s">
        <v>22</v>
      </c>
      <c r="H366" t="str">
        <f>_xlfn.XLOOKUP(TRIM(D366),對應!D:D,對應!E:E,"未對應")</f>
        <v>3通路方案</v>
      </c>
    </row>
    <row r="367" spans="1:8" x14ac:dyDescent="0.4">
      <c r="A367" t="s">
        <v>23</v>
      </c>
      <c r="B367">
        <v>2025</v>
      </c>
      <c r="C367">
        <v>4</v>
      </c>
      <c r="D367" t="s">
        <v>17</v>
      </c>
      <c r="E367" t="s">
        <v>18</v>
      </c>
      <c r="F367">
        <v>-1383117</v>
      </c>
      <c r="G367" s="3" t="s">
        <v>19</v>
      </c>
      <c r="H367" t="str">
        <f>_xlfn.XLOOKUP(TRIM(D367),對應!D:D,對應!E:E,"未對應")</f>
        <v>4筆電+盈嘉</v>
      </c>
    </row>
    <row r="368" spans="1:8" x14ac:dyDescent="0.4">
      <c r="A368" t="s">
        <v>23</v>
      </c>
      <c r="B368">
        <v>2025</v>
      </c>
      <c r="C368">
        <v>5</v>
      </c>
      <c r="D368" t="s">
        <v>17</v>
      </c>
      <c r="E368" t="s">
        <v>18</v>
      </c>
      <c r="F368">
        <v>-24392935</v>
      </c>
      <c r="G368" s="3" t="s">
        <v>19</v>
      </c>
      <c r="H368" t="str">
        <f>_xlfn.XLOOKUP(TRIM(D368),對應!D:D,對應!E:E,"未對應")</f>
        <v>4筆電+盈嘉</v>
      </c>
    </row>
    <row r="369" spans="1:8" x14ac:dyDescent="0.4">
      <c r="A369" t="s">
        <v>23</v>
      </c>
      <c r="B369">
        <v>2025</v>
      </c>
      <c r="C369">
        <v>5</v>
      </c>
      <c r="D369" t="s">
        <v>10</v>
      </c>
      <c r="E369" t="s">
        <v>24</v>
      </c>
      <c r="F369">
        <v>-325635857</v>
      </c>
      <c r="G369" s="3" t="s">
        <v>14</v>
      </c>
      <c r="H369" t="str">
        <f>_xlfn.XLOOKUP(TRIM(D369),對應!D:D,對應!E:E,"未對應")</f>
        <v>3通路方案</v>
      </c>
    </row>
    <row r="370" spans="1:8" x14ac:dyDescent="0.4">
      <c r="A370" t="s">
        <v>23</v>
      </c>
      <c r="B370">
        <v>2025</v>
      </c>
      <c r="C370">
        <v>5</v>
      </c>
      <c r="D370" t="s">
        <v>10</v>
      </c>
      <c r="E370" t="s">
        <v>27</v>
      </c>
      <c r="F370">
        <v>-5813875</v>
      </c>
      <c r="G370" s="3" t="s">
        <v>28</v>
      </c>
      <c r="H370" t="str">
        <f>_xlfn.XLOOKUP(TRIM(D370),對應!D:D,對應!E:E,"未對應")</f>
        <v>3通路方案</v>
      </c>
    </row>
    <row r="371" spans="1:8" x14ac:dyDescent="0.4">
      <c r="A371" t="s">
        <v>23</v>
      </c>
      <c r="B371">
        <v>2025</v>
      </c>
      <c r="C371">
        <v>5</v>
      </c>
      <c r="D371" t="s">
        <v>10</v>
      </c>
      <c r="E371" t="s">
        <v>38</v>
      </c>
      <c r="F371">
        <v>32017</v>
      </c>
      <c r="G371" s="3" t="s">
        <v>12</v>
      </c>
      <c r="H371" t="str">
        <f>_xlfn.XLOOKUP(TRIM(D371),對應!D:D,對應!E:E,"未對應")</f>
        <v>3通路方案</v>
      </c>
    </row>
    <row r="372" spans="1:8" x14ac:dyDescent="0.4">
      <c r="A372" t="s">
        <v>23</v>
      </c>
      <c r="B372">
        <v>2025</v>
      </c>
      <c r="C372">
        <v>5</v>
      </c>
      <c r="D372" t="s">
        <v>10</v>
      </c>
      <c r="E372" t="s">
        <v>26</v>
      </c>
      <c r="F372">
        <v>-80298</v>
      </c>
      <c r="G372" s="3" t="s">
        <v>14</v>
      </c>
      <c r="H372" t="str">
        <f>_xlfn.XLOOKUP(TRIM(D372),對應!D:D,對應!E:E,"未對應")</f>
        <v>3通路方案</v>
      </c>
    </row>
    <row r="373" spans="1:8" x14ac:dyDescent="0.4">
      <c r="A373" t="s">
        <v>23</v>
      </c>
      <c r="B373">
        <v>2025</v>
      </c>
      <c r="C373">
        <v>6</v>
      </c>
      <c r="D373" t="s">
        <v>10</v>
      </c>
      <c r="E373" t="s">
        <v>30</v>
      </c>
      <c r="F373">
        <v>-1931521</v>
      </c>
      <c r="G373" s="3" t="s">
        <v>12</v>
      </c>
      <c r="H373" t="str">
        <f>_xlfn.XLOOKUP(TRIM(D373),對應!D:D,對應!E:E,"未對應")</f>
        <v>3通路方案</v>
      </c>
    </row>
    <row r="374" spans="1:8" x14ac:dyDescent="0.4">
      <c r="A374" t="s">
        <v>23</v>
      </c>
      <c r="B374">
        <v>2025</v>
      </c>
      <c r="C374">
        <v>6</v>
      </c>
      <c r="D374" t="s">
        <v>10</v>
      </c>
      <c r="E374" t="s">
        <v>16</v>
      </c>
      <c r="F374">
        <v>-1065526</v>
      </c>
      <c r="G374" s="3" t="s">
        <v>16</v>
      </c>
      <c r="H374" t="str">
        <f>_xlfn.XLOOKUP(TRIM(D374),對應!D:D,對應!E:E,"未對應")</f>
        <v>3通路方案</v>
      </c>
    </row>
    <row r="375" spans="1:8" x14ac:dyDescent="0.4">
      <c r="A375" t="s">
        <v>23</v>
      </c>
      <c r="B375">
        <v>2025</v>
      </c>
      <c r="C375">
        <v>6</v>
      </c>
      <c r="D375" t="s">
        <v>10</v>
      </c>
      <c r="E375" t="s">
        <v>20</v>
      </c>
      <c r="F375">
        <v>15016</v>
      </c>
      <c r="G375" s="3" t="s">
        <v>12</v>
      </c>
      <c r="H375" t="str">
        <f>_xlfn.XLOOKUP(TRIM(D375),對應!D:D,對應!E:E,"未對應")</f>
        <v>3通路方案</v>
      </c>
    </row>
    <row r="376" spans="1:8" x14ac:dyDescent="0.4">
      <c r="A376" t="s">
        <v>41</v>
      </c>
      <c r="B376">
        <v>2025</v>
      </c>
      <c r="C376">
        <v>9</v>
      </c>
      <c r="D376" t="s">
        <v>17</v>
      </c>
      <c r="E376" t="s">
        <v>18</v>
      </c>
      <c r="F376">
        <v>-449673685</v>
      </c>
      <c r="G376" s="3" t="s">
        <v>19</v>
      </c>
      <c r="H376" t="str">
        <f>_xlfn.XLOOKUP(TRIM(D376),對應!D:D,對應!E:E,"未對應")</f>
        <v>4筆電+盈嘉</v>
      </c>
    </row>
    <row r="377" spans="1:8" x14ac:dyDescent="0.4">
      <c r="A377" t="s">
        <v>41</v>
      </c>
      <c r="B377">
        <v>2025</v>
      </c>
      <c r="C377">
        <v>9</v>
      </c>
      <c r="D377" t="s">
        <v>37</v>
      </c>
      <c r="E377" t="s">
        <v>16</v>
      </c>
      <c r="F377">
        <v>-186811</v>
      </c>
      <c r="G377" s="3" t="s">
        <v>37</v>
      </c>
      <c r="H377" t="str">
        <f>_xlfn.XLOOKUP(TRIM(D377),對應!D:D,對應!E:E,"未對應")</f>
        <v>6雲城</v>
      </c>
    </row>
    <row r="378" spans="1:8" x14ac:dyDescent="0.4">
      <c r="A378" t="s">
        <v>41</v>
      </c>
      <c r="B378">
        <v>2025</v>
      </c>
      <c r="C378">
        <v>9</v>
      </c>
      <c r="D378" t="s">
        <v>37</v>
      </c>
      <c r="E378" t="s">
        <v>16</v>
      </c>
      <c r="F378">
        <v>-87048</v>
      </c>
      <c r="G378" s="3" t="s">
        <v>37</v>
      </c>
      <c r="H378" t="str">
        <f>_xlfn.XLOOKUP(TRIM(D378),對應!D:D,對應!E:E,"未對應")</f>
        <v>6雲城</v>
      </c>
    </row>
    <row r="379" spans="1:8" x14ac:dyDescent="0.4">
      <c r="A379" t="s">
        <v>46</v>
      </c>
      <c r="B379">
        <v>2025</v>
      </c>
      <c r="C379">
        <v>9</v>
      </c>
      <c r="D379" t="s">
        <v>15</v>
      </c>
      <c r="E379" t="s">
        <v>16</v>
      </c>
      <c r="F379">
        <v>-16030233</v>
      </c>
      <c r="G379" s="3" t="s">
        <v>16</v>
      </c>
      <c r="H379" t="str">
        <f>_xlfn.XLOOKUP(TRIM(D379),對應!D:D,對應!E:E,"未對應")</f>
        <v>7製造</v>
      </c>
    </row>
    <row r="380" spans="1:8" x14ac:dyDescent="0.4">
      <c r="A380" t="s">
        <v>45</v>
      </c>
      <c r="B380">
        <v>2025</v>
      </c>
      <c r="C380">
        <v>9</v>
      </c>
      <c r="D380" t="s">
        <v>15</v>
      </c>
      <c r="E380" t="s">
        <v>16</v>
      </c>
      <c r="F380">
        <v>1931171</v>
      </c>
      <c r="G380" s="3" t="s">
        <v>16</v>
      </c>
      <c r="H380" t="str">
        <f>_xlfn.XLOOKUP(TRIM(D380),對應!D:D,對應!E:E,"未對應")</f>
        <v>7製造</v>
      </c>
    </row>
    <row r="381" spans="1:8" x14ac:dyDescent="0.4">
      <c r="A381" t="s">
        <v>43</v>
      </c>
      <c r="B381">
        <v>2025</v>
      </c>
      <c r="C381">
        <v>9</v>
      </c>
      <c r="D381" t="s">
        <v>32</v>
      </c>
      <c r="E381" t="s">
        <v>16</v>
      </c>
      <c r="F381">
        <v>9819117</v>
      </c>
      <c r="G381" s="3" t="s">
        <v>32</v>
      </c>
      <c r="H381" t="str">
        <f>_xlfn.XLOOKUP(TRIM(D381),對應!D:D,對應!E:E,"未對應")</f>
        <v>5百事益</v>
      </c>
    </row>
    <row r="382" spans="1:8" x14ac:dyDescent="0.4">
      <c r="A382" t="s">
        <v>43</v>
      </c>
      <c r="B382">
        <v>2025</v>
      </c>
      <c r="C382">
        <v>9</v>
      </c>
      <c r="D382" t="s">
        <v>32</v>
      </c>
      <c r="E382" t="s">
        <v>16</v>
      </c>
      <c r="F382">
        <v>442661</v>
      </c>
      <c r="G382" s="3" t="s">
        <v>32</v>
      </c>
      <c r="H382" t="str">
        <f>_xlfn.XLOOKUP(TRIM(D382),對應!D:D,對應!E:E,"未對應")</f>
        <v>5百事益</v>
      </c>
    </row>
    <row r="383" spans="1:8" x14ac:dyDescent="0.4">
      <c r="A383" t="s">
        <v>44</v>
      </c>
      <c r="B383">
        <v>2025</v>
      </c>
      <c r="C383">
        <v>1</v>
      </c>
      <c r="D383" t="s">
        <v>32</v>
      </c>
      <c r="F383">
        <v>1703402</v>
      </c>
      <c r="G383" s="3" t="s">
        <v>32</v>
      </c>
      <c r="H383" t="str">
        <f>_xlfn.XLOOKUP(TRIM(D383),對應!D:D,對應!E:E,"未對應")</f>
        <v>5百事益</v>
      </c>
    </row>
    <row r="384" spans="1:8" x14ac:dyDescent="0.4">
      <c r="A384" t="s">
        <v>44</v>
      </c>
      <c r="B384">
        <v>2025</v>
      </c>
      <c r="C384">
        <v>4</v>
      </c>
      <c r="D384" t="s">
        <v>32</v>
      </c>
      <c r="F384">
        <v>2357006</v>
      </c>
      <c r="G384" s="3" t="s">
        <v>32</v>
      </c>
      <c r="H384" t="str">
        <f>_xlfn.XLOOKUP(TRIM(D384),對應!D:D,對應!E:E,"未對應")</f>
        <v>5百事益</v>
      </c>
    </row>
    <row r="385" spans="1:8" x14ac:dyDescent="0.4">
      <c r="A385" t="s">
        <v>43</v>
      </c>
      <c r="B385">
        <v>2025</v>
      </c>
      <c r="C385">
        <v>9</v>
      </c>
      <c r="D385" t="s">
        <v>10</v>
      </c>
      <c r="E385" t="s">
        <v>24</v>
      </c>
      <c r="F385">
        <v>945754342</v>
      </c>
      <c r="G385" s="3" t="s">
        <v>14</v>
      </c>
      <c r="H385" t="str">
        <f>_xlfn.XLOOKUP(TRIM(D385),對應!D:D,對應!E:E,"未對應")</f>
        <v>3通路方案</v>
      </c>
    </row>
    <row r="386" spans="1:8" x14ac:dyDescent="0.4">
      <c r="A386" t="s">
        <v>43</v>
      </c>
      <c r="B386">
        <v>2025</v>
      </c>
      <c r="C386">
        <v>9</v>
      </c>
      <c r="D386" t="s">
        <v>10</v>
      </c>
      <c r="E386" t="s">
        <v>25</v>
      </c>
      <c r="F386">
        <v>140427</v>
      </c>
      <c r="G386" s="3" t="s">
        <v>14</v>
      </c>
      <c r="H386" t="str">
        <f>_xlfn.XLOOKUP(TRIM(D386),對應!D:D,對應!E:E,"未對應")</f>
        <v>3通路方案</v>
      </c>
    </row>
    <row r="387" spans="1:8" x14ac:dyDescent="0.4">
      <c r="A387" t="s">
        <v>44</v>
      </c>
      <c r="B387">
        <v>2025</v>
      </c>
      <c r="C387">
        <v>2</v>
      </c>
      <c r="D387" t="s">
        <v>32</v>
      </c>
      <c r="F387">
        <v>1176812</v>
      </c>
      <c r="G387" s="3" t="s">
        <v>32</v>
      </c>
      <c r="H387" t="str">
        <f>_xlfn.XLOOKUP(TRIM(D387),對應!D:D,對應!E:E,"未對應")</f>
        <v>5百事益</v>
      </c>
    </row>
    <row r="388" spans="1:8" x14ac:dyDescent="0.4">
      <c r="A388" t="s">
        <v>44</v>
      </c>
      <c r="B388">
        <v>2025</v>
      </c>
      <c r="C388">
        <v>5</v>
      </c>
      <c r="D388" t="s">
        <v>32</v>
      </c>
      <c r="F388">
        <v>1473916</v>
      </c>
      <c r="G388" s="3" t="s">
        <v>32</v>
      </c>
      <c r="H388" t="str">
        <f>_xlfn.XLOOKUP(TRIM(D388),對應!D:D,對應!E:E,"未對應")</f>
        <v>5百事益</v>
      </c>
    </row>
    <row r="389" spans="1:8" x14ac:dyDescent="0.4">
      <c r="A389" t="s">
        <v>23</v>
      </c>
      <c r="B389">
        <v>2025</v>
      </c>
      <c r="C389">
        <v>1</v>
      </c>
      <c r="D389" t="s">
        <v>10</v>
      </c>
      <c r="E389" t="s">
        <v>29</v>
      </c>
      <c r="F389">
        <v>-1006467</v>
      </c>
      <c r="G389" s="3" t="s">
        <v>12</v>
      </c>
      <c r="H389" t="str">
        <f>_xlfn.XLOOKUP(TRIM(D389),對應!D:D,對應!E:E,"未對應")</f>
        <v>3通路方案</v>
      </c>
    </row>
    <row r="390" spans="1:8" x14ac:dyDescent="0.4">
      <c r="A390" t="s">
        <v>23</v>
      </c>
      <c r="B390">
        <v>2025</v>
      </c>
      <c r="C390">
        <v>1</v>
      </c>
      <c r="D390" t="s">
        <v>10</v>
      </c>
      <c r="E390" t="s">
        <v>11</v>
      </c>
      <c r="F390">
        <v>-6995371</v>
      </c>
      <c r="G390" s="3" t="s">
        <v>12</v>
      </c>
      <c r="H390" t="str">
        <f>_xlfn.XLOOKUP(TRIM(D390),對應!D:D,對應!E:E,"未對應")</f>
        <v>3通路方案</v>
      </c>
    </row>
    <row r="391" spans="1:8" x14ac:dyDescent="0.4">
      <c r="A391" t="s">
        <v>23</v>
      </c>
      <c r="B391">
        <v>2025</v>
      </c>
      <c r="C391">
        <v>1</v>
      </c>
      <c r="D391" t="s">
        <v>15</v>
      </c>
      <c r="E391" t="s">
        <v>16</v>
      </c>
      <c r="F391">
        <v>-365827</v>
      </c>
      <c r="G391" s="3" t="s">
        <v>16</v>
      </c>
      <c r="H391" t="str">
        <f>_xlfn.XLOOKUP(TRIM(D391),對應!D:D,對應!E:E,"未對應")</f>
        <v>7製造</v>
      </c>
    </row>
    <row r="392" spans="1:8" x14ac:dyDescent="0.4">
      <c r="A392" t="s">
        <v>31</v>
      </c>
      <c r="B392">
        <v>2025</v>
      </c>
      <c r="C392">
        <v>4</v>
      </c>
      <c r="D392" t="s">
        <v>10</v>
      </c>
      <c r="E392" t="s">
        <v>21</v>
      </c>
      <c r="F392">
        <v>-6021893</v>
      </c>
      <c r="G392" s="3" t="s">
        <v>22</v>
      </c>
      <c r="H392" t="str">
        <f>_xlfn.XLOOKUP(TRIM(D392),對應!D:D,對應!E:E,"未對應")</f>
        <v>3通路方案</v>
      </c>
    </row>
    <row r="393" spans="1:8" x14ac:dyDescent="0.4">
      <c r="A393" t="s">
        <v>31</v>
      </c>
      <c r="B393">
        <v>2025</v>
      </c>
      <c r="C393">
        <v>4</v>
      </c>
      <c r="D393" t="s">
        <v>10</v>
      </c>
      <c r="E393" t="s">
        <v>24</v>
      </c>
      <c r="F393">
        <v>-8264484</v>
      </c>
      <c r="G393" s="3" t="s">
        <v>14</v>
      </c>
      <c r="H393" t="str">
        <f>_xlfn.XLOOKUP(TRIM(D393),對應!D:D,對應!E:E,"未對應")</f>
        <v>3通路方案</v>
      </c>
    </row>
    <row r="394" spans="1:8" x14ac:dyDescent="0.4">
      <c r="A394" t="s">
        <v>31</v>
      </c>
      <c r="B394">
        <v>2025</v>
      </c>
      <c r="C394">
        <v>4</v>
      </c>
      <c r="D394" t="s">
        <v>32</v>
      </c>
      <c r="E394" t="s">
        <v>16</v>
      </c>
      <c r="F394">
        <v>-6008182</v>
      </c>
      <c r="G394" s="3" t="s">
        <v>32</v>
      </c>
      <c r="H394" t="str">
        <f>_xlfn.XLOOKUP(TRIM(D394),對應!D:D,對應!E:E,"未對應")</f>
        <v>5百事益</v>
      </c>
    </row>
    <row r="395" spans="1:8" x14ac:dyDescent="0.4">
      <c r="A395" t="s">
        <v>31</v>
      </c>
      <c r="B395">
        <v>2025</v>
      </c>
      <c r="C395">
        <v>5</v>
      </c>
      <c r="D395" t="s">
        <v>32</v>
      </c>
      <c r="E395" t="s">
        <v>16</v>
      </c>
      <c r="F395">
        <v>-114625</v>
      </c>
      <c r="G395" s="3" t="s">
        <v>32</v>
      </c>
      <c r="H395" t="str">
        <f>_xlfn.XLOOKUP(TRIM(D395),對應!D:D,對應!E:E,"未對應")</f>
        <v>5百事益</v>
      </c>
    </row>
    <row r="396" spans="1:8" x14ac:dyDescent="0.4">
      <c r="A396" t="s">
        <v>31</v>
      </c>
      <c r="B396">
        <v>2025</v>
      </c>
      <c r="C396">
        <v>5</v>
      </c>
      <c r="D396" t="s">
        <v>32</v>
      </c>
      <c r="E396" t="s">
        <v>16</v>
      </c>
      <c r="F396">
        <v>-6380243</v>
      </c>
      <c r="G396" s="3" t="s">
        <v>32</v>
      </c>
      <c r="H396" t="str">
        <f>_xlfn.XLOOKUP(TRIM(D396),對應!D:D,對應!E:E,"未對應")</f>
        <v>5百事益</v>
      </c>
    </row>
    <row r="397" spans="1:8" x14ac:dyDescent="0.4">
      <c r="A397" t="s">
        <v>31</v>
      </c>
      <c r="B397">
        <v>2025</v>
      </c>
      <c r="C397">
        <v>6</v>
      </c>
      <c r="D397" t="s">
        <v>32</v>
      </c>
      <c r="E397" t="s">
        <v>16</v>
      </c>
      <c r="F397">
        <v>-2032365</v>
      </c>
      <c r="G397" s="3" t="s">
        <v>32</v>
      </c>
      <c r="H397" t="str">
        <f>_xlfn.XLOOKUP(TRIM(D397),對應!D:D,對應!E:E,"未對應")</f>
        <v>5百事益</v>
      </c>
    </row>
    <row r="398" spans="1:8" x14ac:dyDescent="0.4">
      <c r="A398" t="s">
        <v>7</v>
      </c>
      <c r="B398">
        <v>2025</v>
      </c>
      <c r="C398">
        <v>1</v>
      </c>
      <c r="D398" t="s">
        <v>15</v>
      </c>
      <c r="E398" t="s">
        <v>16</v>
      </c>
      <c r="F398">
        <v>27663012</v>
      </c>
      <c r="G398" s="3" t="s">
        <v>16</v>
      </c>
      <c r="H398" t="str">
        <f>_xlfn.XLOOKUP(TRIM(D398),對應!D:D,對應!E:E,"未對應")</f>
        <v>7製造</v>
      </c>
    </row>
    <row r="399" spans="1:8" x14ac:dyDescent="0.4">
      <c r="A399" t="s">
        <v>7</v>
      </c>
      <c r="B399">
        <v>2025</v>
      </c>
      <c r="C399">
        <v>1</v>
      </c>
      <c r="D399" t="s">
        <v>10</v>
      </c>
      <c r="E399" t="s">
        <v>38</v>
      </c>
      <c r="F399">
        <v>-82437</v>
      </c>
      <c r="G399" s="3" t="s">
        <v>12</v>
      </c>
      <c r="H399" t="str">
        <f>_xlfn.XLOOKUP(TRIM(D399),對應!D:D,對應!E:E,"未對應")</f>
        <v>3通路方案</v>
      </c>
    </row>
    <row r="400" spans="1:8" x14ac:dyDescent="0.4">
      <c r="A400" t="s">
        <v>7</v>
      </c>
      <c r="B400">
        <v>2025</v>
      </c>
      <c r="C400">
        <v>2</v>
      </c>
      <c r="D400" t="s">
        <v>10</v>
      </c>
      <c r="E400" t="s">
        <v>13</v>
      </c>
      <c r="F400">
        <v>4846087</v>
      </c>
      <c r="G400" s="3" t="s">
        <v>14</v>
      </c>
      <c r="H400" t="str">
        <f>_xlfn.XLOOKUP(TRIM(D400),對應!D:D,對應!E:E,"未對應")</f>
        <v>3通路方案</v>
      </c>
    </row>
    <row r="401" spans="1:8" x14ac:dyDescent="0.4">
      <c r="A401" t="s">
        <v>7</v>
      </c>
      <c r="B401">
        <v>2025</v>
      </c>
      <c r="C401">
        <v>2</v>
      </c>
      <c r="D401" t="s">
        <v>8</v>
      </c>
      <c r="E401" t="s">
        <v>33</v>
      </c>
      <c r="F401">
        <v>838049227</v>
      </c>
      <c r="G401" s="3" t="s">
        <v>9</v>
      </c>
      <c r="H401" t="str">
        <f>_xlfn.XLOOKUP(TRIM(D401),對應!D:D,對應!E:E,"未對應")</f>
        <v>1網通+技鋼</v>
      </c>
    </row>
    <row r="402" spans="1:8" x14ac:dyDescent="0.4">
      <c r="A402" t="s">
        <v>7</v>
      </c>
      <c r="B402">
        <v>2025</v>
      </c>
      <c r="C402">
        <v>3</v>
      </c>
      <c r="D402" t="s">
        <v>10</v>
      </c>
      <c r="E402" t="s">
        <v>24</v>
      </c>
      <c r="F402">
        <v>2942577626</v>
      </c>
      <c r="G402" s="3" t="s">
        <v>14</v>
      </c>
      <c r="H402" t="str">
        <f>_xlfn.XLOOKUP(TRIM(D402),對應!D:D,對應!E:E,"未對應")</f>
        <v>3通路方案</v>
      </c>
    </row>
    <row r="403" spans="1:8" x14ac:dyDescent="0.4">
      <c r="A403" t="s">
        <v>7</v>
      </c>
      <c r="B403">
        <v>2025</v>
      </c>
      <c r="C403">
        <v>4</v>
      </c>
      <c r="D403" t="s">
        <v>15</v>
      </c>
      <c r="E403" t="s">
        <v>16</v>
      </c>
      <c r="F403">
        <v>10085975</v>
      </c>
      <c r="G403" s="3" t="s">
        <v>16</v>
      </c>
      <c r="H403" t="str">
        <f>_xlfn.XLOOKUP(TRIM(D403),對應!D:D,對應!E:E,"未對應")</f>
        <v>7製造</v>
      </c>
    </row>
    <row r="404" spans="1:8" x14ac:dyDescent="0.4">
      <c r="A404" t="s">
        <v>7</v>
      </c>
      <c r="B404">
        <v>2025</v>
      </c>
      <c r="C404">
        <v>4</v>
      </c>
      <c r="D404" t="s">
        <v>10</v>
      </c>
      <c r="E404" t="s">
        <v>38</v>
      </c>
      <c r="F404">
        <v>-10618</v>
      </c>
      <c r="G404" s="3" t="s">
        <v>12</v>
      </c>
      <c r="H404" t="str">
        <f>_xlfn.XLOOKUP(TRIM(D404),對應!D:D,對應!E:E,"未對應")</f>
        <v>3通路方案</v>
      </c>
    </row>
    <row r="405" spans="1:8" x14ac:dyDescent="0.4">
      <c r="A405" t="s">
        <v>7</v>
      </c>
      <c r="B405">
        <v>2025</v>
      </c>
      <c r="C405">
        <v>4</v>
      </c>
      <c r="D405" t="s">
        <v>10</v>
      </c>
      <c r="E405" t="s">
        <v>11</v>
      </c>
      <c r="F405">
        <v>137272701</v>
      </c>
      <c r="G405" s="3" t="s">
        <v>12</v>
      </c>
      <c r="H405" t="str">
        <f>_xlfn.XLOOKUP(TRIM(D405),對應!D:D,對應!E:E,"未對應")</f>
        <v>3通路方案</v>
      </c>
    </row>
    <row r="406" spans="1:8" x14ac:dyDescent="0.4">
      <c r="A406" t="s">
        <v>7</v>
      </c>
      <c r="B406">
        <v>2025</v>
      </c>
      <c r="C406">
        <v>5</v>
      </c>
      <c r="D406" t="s">
        <v>10</v>
      </c>
      <c r="E406" t="s">
        <v>25</v>
      </c>
      <c r="F406">
        <v>498530</v>
      </c>
      <c r="G406" s="3" t="s">
        <v>14</v>
      </c>
      <c r="H406" t="str">
        <f>_xlfn.XLOOKUP(TRIM(D406),對應!D:D,對應!E:E,"未對應")</f>
        <v>3通路方案</v>
      </c>
    </row>
    <row r="407" spans="1:8" x14ac:dyDescent="0.4">
      <c r="A407" t="s">
        <v>7</v>
      </c>
      <c r="B407">
        <v>2025</v>
      </c>
      <c r="C407">
        <v>5</v>
      </c>
      <c r="D407" t="s">
        <v>10</v>
      </c>
      <c r="E407" t="s">
        <v>13</v>
      </c>
      <c r="F407">
        <v>5091444</v>
      </c>
      <c r="G407" s="3" t="s">
        <v>14</v>
      </c>
      <c r="H407" t="str">
        <f>_xlfn.XLOOKUP(TRIM(D407),對應!D:D,對應!E:E,"未對應")</f>
        <v>3通路方案</v>
      </c>
    </row>
    <row r="408" spans="1:8" x14ac:dyDescent="0.4">
      <c r="A408" t="s">
        <v>23</v>
      </c>
      <c r="B408">
        <v>2025</v>
      </c>
      <c r="C408">
        <v>1</v>
      </c>
      <c r="D408" t="s">
        <v>10</v>
      </c>
      <c r="E408" t="s">
        <v>16</v>
      </c>
      <c r="F408">
        <v>-5258</v>
      </c>
      <c r="G408" s="3" t="s">
        <v>16</v>
      </c>
      <c r="H408" t="str">
        <f>_xlfn.XLOOKUP(TRIM(D408),對應!D:D,對應!E:E,"未對應")</f>
        <v>3通路方案</v>
      </c>
    </row>
    <row r="409" spans="1:8" x14ac:dyDescent="0.4">
      <c r="A409" t="s">
        <v>23</v>
      </c>
      <c r="B409">
        <v>2025</v>
      </c>
      <c r="C409">
        <v>1</v>
      </c>
      <c r="D409" t="s">
        <v>15</v>
      </c>
      <c r="E409" t="s">
        <v>16</v>
      </c>
      <c r="F409">
        <v>-24156391</v>
      </c>
      <c r="G409" s="3" t="s">
        <v>16</v>
      </c>
      <c r="H409" t="str">
        <f>_xlfn.XLOOKUP(TRIM(D409),對應!D:D,對應!E:E,"未對應")</f>
        <v>7製造</v>
      </c>
    </row>
    <row r="410" spans="1:8" x14ac:dyDescent="0.4">
      <c r="A410" t="s">
        <v>23</v>
      </c>
      <c r="B410">
        <v>2025</v>
      </c>
      <c r="C410">
        <v>1</v>
      </c>
      <c r="D410" t="s">
        <v>10</v>
      </c>
      <c r="E410" t="s">
        <v>30</v>
      </c>
      <c r="F410">
        <v>-6274995</v>
      </c>
      <c r="G410" s="3" t="s">
        <v>12</v>
      </c>
      <c r="H410" t="str">
        <f>_xlfn.XLOOKUP(TRIM(D410),對應!D:D,對應!E:E,"未對應")</f>
        <v>3通路方案</v>
      </c>
    </row>
    <row r="411" spans="1:8" x14ac:dyDescent="0.4">
      <c r="A411" t="s">
        <v>23</v>
      </c>
      <c r="B411">
        <v>2025</v>
      </c>
      <c r="C411">
        <v>1</v>
      </c>
      <c r="D411" t="s">
        <v>10</v>
      </c>
      <c r="E411" t="s">
        <v>27</v>
      </c>
      <c r="F411">
        <v>-37195236</v>
      </c>
      <c r="G411" s="3" t="s">
        <v>28</v>
      </c>
      <c r="H411" t="str">
        <f>_xlfn.XLOOKUP(TRIM(D411),對應!D:D,對應!E:E,"未對應")</f>
        <v>3通路方案</v>
      </c>
    </row>
    <row r="412" spans="1:8" x14ac:dyDescent="0.4">
      <c r="A412" t="s">
        <v>23</v>
      </c>
      <c r="B412">
        <v>2025</v>
      </c>
      <c r="C412">
        <v>1</v>
      </c>
      <c r="D412" t="s">
        <v>10</v>
      </c>
      <c r="E412" t="s">
        <v>16</v>
      </c>
      <c r="F412">
        <v>-496297</v>
      </c>
      <c r="G412" s="3" t="s">
        <v>16</v>
      </c>
      <c r="H412" t="str">
        <f>_xlfn.XLOOKUP(TRIM(D412),對應!D:D,對應!E:E,"未對應")</f>
        <v>3通路方案</v>
      </c>
    </row>
    <row r="413" spans="1:8" x14ac:dyDescent="0.4">
      <c r="A413" t="s">
        <v>23</v>
      </c>
      <c r="B413">
        <v>2025</v>
      </c>
      <c r="C413">
        <v>1</v>
      </c>
      <c r="D413" t="s">
        <v>15</v>
      </c>
      <c r="E413" t="s">
        <v>16</v>
      </c>
      <c r="F413">
        <v>-2222578</v>
      </c>
      <c r="G413" s="3" t="s">
        <v>16</v>
      </c>
      <c r="H413" t="str">
        <f>_xlfn.XLOOKUP(TRIM(D413),對應!D:D,對應!E:E,"未對應")</f>
        <v>7製造</v>
      </c>
    </row>
    <row r="414" spans="1:8" x14ac:dyDescent="0.4">
      <c r="A414" t="s">
        <v>23</v>
      </c>
      <c r="B414">
        <v>2025</v>
      </c>
      <c r="C414">
        <v>1</v>
      </c>
      <c r="D414" t="s">
        <v>15</v>
      </c>
      <c r="E414" t="s">
        <v>16</v>
      </c>
      <c r="F414">
        <v>-2907851</v>
      </c>
      <c r="G414" s="3" t="s">
        <v>16</v>
      </c>
      <c r="H414" t="str">
        <f>_xlfn.XLOOKUP(TRIM(D414),對應!D:D,對應!E:E,"未對應")</f>
        <v>7製造</v>
      </c>
    </row>
    <row r="415" spans="1:8" x14ac:dyDescent="0.4">
      <c r="A415" t="s">
        <v>23</v>
      </c>
      <c r="B415">
        <v>2025</v>
      </c>
      <c r="C415">
        <v>2</v>
      </c>
      <c r="D415" t="s">
        <v>10</v>
      </c>
      <c r="E415" t="s">
        <v>20</v>
      </c>
      <c r="F415">
        <v>-245440</v>
      </c>
      <c r="G415" s="3" t="s">
        <v>12</v>
      </c>
      <c r="H415" t="str">
        <f>_xlfn.XLOOKUP(TRIM(D415),對應!D:D,對應!E:E,"未對應")</f>
        <v>3通路方案</v>
      </c>
    </row>
    <row r="416" spans="1:8" x14ac:dyDescent="0.4">
      <c r="A416" t="s">
        <v>23</v>
      </c>
      <c r="B416">
        <v>2025</v>
      </c>
      <c r="C416">
        <v>3</v>
      </c>
      <c r="D416" t="s">
        <v>15</v>
      </c>
      <c r="E416" t="s">
        <v>16</v>
      </c>
      <c r="F416">
        <v>-61480276</v>
      </c>
      <c r="G416" s="3" t="s">
        <v>16</v>
      </c>
      <c r="H416" t="str">
        <f>_xlfn.XLOOKUP(TRIM(D416),對應!D:D,對應!E:E,"未對應")</f>
        <v>7製造</v>
      </c>
    </row>
    <row r="417" spans="1:8" x14ac:dyDescent="0.4">
      <c r="A417" t="s">
        <v>23</v>
      </c>
      <c r="B417">
        <v>2025</v>
      </c>
      <c r="C417">
        <v>3</v>
      </c>
      <c r="D417" t="s">
        <v>10</v>
      </c>
      <c r="E417" t="s">
        <v>13</v>
      </c>
      <c r="F417">
        <v>98460</v>
      </c>
      <c r="G417" s="3" t="s">
        <v>14</v>
      </c>
      <c r="H417" t="str">
        <f>_xlfn.XLOOKUP(TRIM(D417),對應!D:D,對應!E:E,"未對應")</f>
        <v>3通路方案</v>
      </c>
    </row>
    <row r="418" spans="1:8" x14ac:dyDescent="0.4">
      <c r="A418" t="s">
        <v>23</v>
      </c>
      <c r="B418">
        <v>2025</v>
      </c>
      <c r="C418">
        <v>3</v>
      </c>
      <c r="D418" t="s">
        <v>10</v>
      </c>
      <c r="E418" t="s">
        <v>16</v>
      </c>
      <c r="F418">
        <v>-4942274</v>
      </c>
      <c r="G418" s="3" t="s">
        <v>16</v>
      </c>
      <c r="H418" t="str">
        <f>_xlfn.XLOOKUP(TRIM(D418),對應!D:D,對應!E:E,"未對應")</f>
        <v>3通路方案</v>
      </c>
    </row>
    <row r="419" spans="1:8" x14ac:dyDescent="0.4">
      <c r="A419" t="s">
        <v>23</v>
      </c>
      <c r="B419">
        <v>2025</v>
      </c>
      <c r="C419">
        <v>4</v>
      </c>
      <c r="D419" t="s">
        <v>10</v>
      </c>
      <c r="E419" t="s">
        <v>16</v>
      </c>
      <c r="F419">
        <v>-11459</v>
      </c>
      <c r="G419" s="3" t="s">
        <v>16</v>
      </c>
      <c r="H419" t="str">
        <f>_xlfn.XLOOKUP(TRIM(D419),對應!D:D,對應!E:E,"未對應")</f>
        <v>3通路方案</v>
      </c>
    </row>
    <row r="420" spans="1:8" x14ac:dyDescent="0.4">
      <c r="A420" t="s">
        <v>23</v>
      </c>
      <c r="B420">
        <v>2025</v>
      </c>
      <c r="C420">
        <v>4</v>
      </c>
      <c r="D420" t="s">
        <v>17</v>
      </c>
      <c r="E420" t="s">
        <v>18</v>
      </c>
      <c r="F420">
        <v>-90990558</v>
      </c>
      <c r="G420" s="3" t="s">
        <v>19</v>
      </c>
      <c r="H420" t="str">
        <f>_xlfn.XLOOKUP(TRIM(D420),對應!D:D,對應!E:E,"未對應")</f>
        <v>4筆電+盈嘉</v>
      </c>
    </row>
    <row r="421" spans="1:8" x14ac:dyDescent="0.4">
      <c r="A421" t="s">
        <v>23</v>
      </c>
      <c r="B421">
        <v>2025</v>
      </c>
      <c r="C421">
        <v>4</v>
      </c>
      <c r="D421" t="s">
        <v>10</v>
      </c>
      <c r="E421" t="s">
        <v>16</v>
      </c>
      <c r="F421">
        <v>904790</v>
      </c>
      <c r="G421" s="3" t="s">
        <v>16</v>
      </c>
      <c r="H421" t="str">
        <f>_xlfn.XLOOKUP(TRIM(D421),對應!D:D,對應!E:E,"未對應")</f>
        <v>3通路方案</v>
      </c>
    </row>
    <row r="422" spans="1:8" x14ac:dyDescent="0.4">
      <c r="A422" t="s">
        <v>23</v>
      </c>
      <c r="B422">
        <v>2025</v>
      </c>
      <c r="C422">
        <v>5</v>
      </c>
      <c r="D422" t="s">
        <v>15</v>
      </c>
      <c r="E422" t="s">
        <v>16</v>
      </c>
      <c r="F422">
        <v>-726996</v>
      </c>
      <c r="G422" s="3" t="s">
        <v>16</v>
      </c>
      <c r="H422" t="str">
        <f>_xlfn.XLOOKUP(TRIM(D422),對應!D:D,對應!E:E,"未對應")</f>
        <v>7製造</v>
      </c>
    </row>
    <row r="423" spans="1:8" x14ac:dyDescent="0.4">
      <c r="A423" t="s">
        <v>23</v>
      </c>
      <c r="B423">
        <v>2025</v>
      </c>
      <c r="C423">
        <v>6</v>
      </c>
      <c r="D423" t="s">
        <v>15</v>
      </c>
      <c r="E423" t="s">
        <v>16</v>
      </c>
      <c r="F423">
        <v>-65103365</v>
      </c>
      <c r="G423" s="3" t="s">
        <v>16</v>
      </c>
      <c r="H423" t="str">
        <f>_xlfn.XLOOKUP(TRIM(D423),對應!D:D,對應!E:E,"未對應")</f>
        <v>7製造</v>
      </c>
    </row>
    <row r="424" spans="1:8" x14ac:dyDescent="0.4">
      <c r="A424" t="s">
        <v>23</v>
      </c>
      <c r="B424">
        <v>2025</v>
      </c>
      <c r="C424">
        <v>1</v>
      </c>
      <c r="D424" t="s">
        <v>15</v>
      </c>
      <c r="E424" t="s">
        <v>16</v>
      </c>
      <c r="F424">
        <v>-598770</v>
      </c>
      <c r="G424" s="3" t="s">
        <v>16</v>
      </c>
      <c r="H424" t="str">
        <f>_xlfn.XLOOKUP(TRIM(D424),對應!D:D,對應!E:E,"未對應")</f>
        <v>7製造</v>
      </c>
    </row>
    <row r="425" spans="1:8" x14ac:dyDescent="0.4">
      <c r="A425" t="s">
        <v>23</v>
      </c>
      <c r="B425">
        <v>2025</v>
      </c>
      <c r="C425">
        <v>1</v>
      </c>
      <c r="D425" t="s">
        <v>10</v>
      </c>
      <c r="E425" t="s">
        <v>24</v>
      </c>
      <c r="F425">
        <v>-713450017</v>
      </c>
      <c r="G425" s="3" t="s">
        <v>14</v>
      </c>
      <c r="H425" t="str">
        <f>_xlfn.XLOOKUP(TRIM(D425),對應!D:D,對應!E:E,"未對應")</f>
        <v>3通路方案</v>
      </c>
    </row>
    <row r="426" spans="1:8" x14ac:dyDescent="0.4">
      <c r="A426" t="s">
        <v>23</v>
      </c>
      <c r="B426">
        <v>2025</v>
      </c>
      <c r="C426">
        <v>1</v>
      </c>
      <c r="D426" t="s">
        <v>17</v>
      </c>
      <c r="E426" t="s">
        <v>18</v>
      </c>
      <c r="F426">
        <v>-227804</v>
      </c>
      <c r="G426" s="3" t="s">
        <v>19</v>
      </c>
      <c r="H426" t="str">
        <f>_xlfn.XLOOKUP(TRIM(D426),對應!D:D,對應!E:E,"未對應")</f>
        <v>4筆電+盈嘉</v>
      </c>
    </row>
    <row r="427" spans="1:8" x14ac:dyDescent="0.4">
      <c r="A427" t="s">
        <v>23</v>
      </c>
      <c r="B427">
        <v>2025</v>
      </c>
      <c r="C427">
        <v>1</v>
      </c>
      <c r="D427" t="s">
        <v>10</v>
      </c>
      <c r="E427" t="s">
        <v>24</v>
      </c>
      <c r="F427">
        <v>-20543050</v>
      </c>
      <c r="G427" s="3" t="s">
        <v>14</v>
      </c>
      <c r="H427" t="str">
        <f>_xlfn.XLOOKUP(TRIM(D427),對應!D:D,對應!E:E,"未對應")</f>
        <v>3通路方案</v>
      </c>
    </row>
    <row r="428" spans="1:8" x14ac:dyDescent="0.4">
      <c r="A428" t="s">
        <v>23</v>
      </c>
      <c r="B428">
        <v>2025</v>
      </c>
      <c r="C428">
        <v>1</v>
      </c>
      <c r="D428" t="s">
        <v>10</v>
      </c>
      <c r="E428" t="s">
        <v>27</v>
      </c>
      <c r="F428">
        <v>-4469436</v>
      </c>
      <c r="G428" s="3" t="s">
        <v>28</v>
      </c>
      <c r="H428" t="str">
        <f>_xlfn.XLOOKUP(TRIM(D428),對應!D:D,對應!E:E,"未對應")</f>
        <v>3通路方案</v>
      </c>
    </row>
    <row r="429" spans="1:8" x14ac:dyDescent="0.4">
      <c r="A429" t="s">
        <v>23</v>
      </c>
      <c r="B429">
        <v>2025</v>
      </c>
      <c r="C429">
        <v>1</v>
      </c>
      <c r="D429" t="s">
        <v>10</v>
      </c>
      <c r="E429" t="s">
        <v>21</v>
      </c>
      <c r="F429">
        <v>-31671542</v>
      </c>
      <c r="G429" s="3" t="s">
        <v>22</v>
      </c>
      <c r="H429" t="str">
        <f>_xlfn.XLOOKUP(TRIM(D429),對應!D:D,對應!E:E,"未對應")</f>
        <v>3通路方案</v>
      </c>
    </row>
    <row r="430" spans="1:8" x14ac:dyDescent="0.4">
      <c r="A430" t="s">
        <v>23</v>
      </c>
      <c r="B430">
        <v>2025</v>
      </c>
      <c r="C430">
        <v>1</v>
      </c>
      <c r="D430" t="s">
        <v>17</v>
      </c>
      <c r="E430" t="s">
        <v>18</v>
      </c>
      <c r="F430">
        <v>-3027</v>
      </c>
      <c r="G430" s="3" t="s">
        <v>19</v>
      </c>
      <c r="H430" t="str">
        <f>_xlfn.XLOOKUP(TRIM(D430),對應!D:D,對應!E:E,"未對應")</f>
        <v>4筆電+盈嘉</v>
      </c>
    </row>
    <row r="431" spans="1:8" x14ac:dyDescent="0.4">
      <c r="A431" t="s">
        <v>23</v>
      </c>
      <c r="B431">
        <v>2025</v>
      </c>
      <c r="C431">
        <v>2</v>
      </c>
      <c r="D431" t="s">
        <v>17</v>
      </c>
      <c r="E431" t="s">
        <v>18</v>
      </c>
      <c r="F431">
        <v>-974562</v>
      </c>
      <c r="G431" s="3" t="s">
        <v>19</v>
      </c>
      <c r="H431" t="str">
        <f>_xlfn.XLOOKUP(TRIM(D431),對應!D:D,對應!E:E,"未對應")</f>
        <v>4筆電+盈嘉</v>
      </c>
    </row>
    <row r="432" spans="1:8" x14ac:dyDescent="0.4">
      <c r="A432" t="s">
        <v>23</v>
      </c>
      <c r="B432">
        <v>2025</v>
      </c>
      <c r="C432">
        <v>2</v>
      </c>
      <c r="D432" t="s">
        <v>15</v>
      </c>
      <c r="E432" t="s">
        <v>16</v>
      </c>
      <c r="F432">
        <v>-410806</v>
      </c>
      <c r="G432" s="3" t="s">
        <v>16</v>
      </c>
      <c r="H432" t="str">
        <f>_xlfn.XLOOKUP(TRIM(D432),對應!D:D,對應!E:E,"未對應")</f>
        <v>7製造</v>
      </c>
    </row>
    <row r="433" spans="1:8" x14ac:dyDescent="0.4">
      <c r="A433" t="s">
        <v>23</v>
      </c>
      <c r="B433">
        <v>2025</v>
      </c>
      <c r="C433">
        <v>2</v>
      </c>
      <c r="D433" t="s">
        <v>10</v>
      </c>
      <c r="E433" t="s">
        <v>38</v>
      </c>
      <c r="F433">
        <v>719004</v>
      </c>
      <c r="G433" s="3" t="s">
        <v>12</v>
      </c>
      <c r="H433" t="str">
        <f>_xlfn.XLOOKUP(TRIM(D433),對應!D:D,對應!E:E,"未對應")</f>
        <v>3通路方案</v>
      </c>
    </row>
    <row r="434" spans="1:8" x14ac:dyDescent="0.4">
      <c r="A434" t="s">
        <v>23</v>
      </c>
      <c r="B434">
        <v>2025</v>
      </c>
      <c r="C434">
        <v>2</v>
      </c>
      <c r="D434" t="s">
        <v>10</v>
      </c>
      <c r="E434" t="s">
        <v>11</v>
      </c>
      <c r="F434">
        <v>-5752616</v>
      </c>
      <c r="G434" s="3" t="s">
        <v>12</v>
      </c>
      <c r="H434" t="str">
        <f>_xlfn.XLOOKUP(TRIM(D434),對應!D:D,對應!E:E,"未對應")</f>
        <v>3通路方案</v>
      </c>
    </row>
    <row r="435" spans="1:8" x14ac:dyDescent="0.4">
      <c r="A435" t="s">
        <v>36</v>
      </c>
      <c r="B435">
        <v>2025</v>
      </c>
      <c r="C435">
        <v>3</v>
      </c>
      <c r="D435" t="s">
        <v>37</v>
      </c>
      <c r="E435" t="s">
        <v>16</v>
      </c>
      <c r="F435">
        <v>20911140</v>
      </c>
      <c r="G435" s="3" t="s">
        <v>37</v>
      </c>
      <c r="H435" t="str">
        <f>_xlfn.XLOOKUP(TRIM(D435),對應!D:D,對應!E:E,"未對應")</f>
        <v>6雲城</v>
      </c>
    </row>
    <row r="436" spans="1:8" x14ac:dyDescent="0.4">
      <c r="A436" t="s">
        <v>36</v>
      </c>
      <c r="B436">
        <v>2025</v>
      </c>
      <c r="C436">
        <v>4</v>
      </c>
      <c r="D436" t="s">
        <v>15</v>
      </c>
      <c r="E436" t="s">
        <v>16</v>
      </c>
      <c r="F436">
        <v>4517275</v>
      </c>
      <c r="G436" s="3" t="s">
        <v>16</v>
      </c>
      <c r="H436" t="str">
        <f>_xlfn.XLOOKUP(TRIM(D436),對應!D:D,對應!E:E,"未對應")</f>
        <v>7製造</v>
      </c>
    </row>
    <row r="437" spans="1:8" x14ac:dyDescent="0.4">
      <c r="A437" t="s">
        <v>36</v>
      </c>
      <c r="B437">
        <v>2025</v>
      </c>
      <c r="C437">
        <v>6</v>
      </c>
      <c r="D437" t="s">
        <v>37</v>
      </c>
      <c r="E437" t="s">
        <v>16</v>
      </c>
      <c r="F437">
        <v>22264487</v>
      </c>
      <c r="G437" s="3" t="s">
        <v>37</v>
      </c>
      <c r="H437" t="str">
        <f>_xlfn.XLOOKUP(TRIM(D437),對應!D:D,對應!E:E,"未對應")</f>
        <v>6雲城</v>
      </c>
    </row>
    <row r="438" spans="1:8" x14ac:dyDescent="0.4">
      <c r="A438" t="s">
        <v>31</v>
      </c>
      <c r="B438">
        <v>2025</v>
      </c>
      <c r="C438">
        <v>1</v>
      </c>
      <c r="D438" t="s">
        <v>10</v>
      </c>
      <c r="E438" t="s">
        <v>27</v>
      </c>
      <c r="F438">
        <v>-8497</v>
      </c>
      <c r="G438" s="3" t="s">
        <v>28</v>
      </c>
      <c r="H438" t="str">
        <f>_xlfn.XLOOKUP(TRIM(D438),對應!D:D,對應!E:E,"未對應")</f>
        <v>3通路方案</v>
      </c>
    </row>
    <row r="439" spans="1:8" x14ac:dyDescent="0.4">
      <c r="A439" t="s">
        <v>31</v>
      </c>
      <c r="B439">
        <v>2025</v>
      </c>
      <c r="C439">
        <v>3</v>
      </c>
      <c r="D439" t="s">
        <v>32</v>
      </c>
      <c r="E439" t="s">
        <v>16</v>
      </c>
      <c r="F439">
        <v>-2041630</v>
      </c>
      <c r="G439" s="3" t="s">
        <v>32</v>
      </c>
      <c r="H439" t="str">
        <f>_xlfn.XLOOKUP(TRIM(D439),對應!D:D,對應!E:E,"未對應")</f>
        <v>5百事益</v>
      </c>
    </row>
    <row r="440" spans="1:8" x14ac:dyDescent="0.4">
      <c r="A440" t="s">
        <v>31</v>
      </c>
      <c r="B440">
        <v>2025</v>
      </c>
      <c r="C440">
        <v>3</v>
      </c>
      <c r="D440" t="s">
        <v>32</v>
      </c>
      <c r="E440" t="s">
        <v>16</v>
      </c>
      <c r="F440">
        <v>-126240</v>
      </c>
      <c r="G440" s="3" t="s">
        <v>32</v>
      </c>
      <c r="H440" t="str">
        <f>_xlfn.XLOOKUP(TRIM(D440),對應!D:D,對應!E:E,"未對應")</f>
        <v>5百事益</v>
      </c>
    </row>
    <row r="441" spans="1:8" x14ac:dyDescent="0.4">
      <c r="A441" t="s">
        <v>31</v>
      </c>
      <c r="B441">
        <v>2025</v>
      </c>
      <c r="C441">
        <v>3</v>
      </c>
      <c r="D441" t="s">
        <v>10</v>
      </c>
      <c r="E441" t="s">
        <v>21</v>
      </c>
      <c r="F441">
        <v>-8149510</v>
      </c>
      <c r="G441" s="3" t="s">
        <v>22</v>
      </c>
      <c r="H441" t="str">
        <f>_xlfn.XLOOKUP(TRIM(D441),對應!D:D,對應!E:E,"未對應")</f>
        <v>3通路方案</v>
      </c>
    </row>
    <row r="442" spans="1:8" x14ac:dyDescent="0.4">
      <c r="A442" t="s">
        <v>31</v>
      </c>
      <c r="B442">
        <v>2025</v>
      </c>
      <c r="C442">
        <v>3</v>
      </c>
      <c r="D442" t="s">
        <v>32</v>
      </c>
      <c r="E442" t="s">
        <v>16</v>
      </c>
      <c r="F442">
        <v>-14445001</v>
      </c>
      <c r="G442" s="3" t="s">
        <v>32</v>
      </c>
      <c r="H442" t="str">
        <f>_xlfn.XLOOKUP(TRIM(D442),對應!D:D,對應!E:E,"未對應")</f>
        <v>5百事益</v>
      </c>
    </row>
    <row r="443" spans="1:8" x14ac:dyDescent="0.4">
      <c r="A443" t="s">
        <v>31</v>
      </c>
      <c r="B443">
        <v>2025</v>
      </c>
      <c r="C443">
        <v>3</v>
      </c>
      <c r="D443" t="s">
        <v>32</v>
      </c>
      <c r="E443" t="s">
        <v>16</v>
      </c>
      <c r="F443">
        <v>-169353</v>
      </c>
      <c r="G443" s="3" t="s">
        <v>32</v>
      </c>
      <c r="H443" t="str">
        <f>_xlfn.XLOOKUP(TRIM(D443),對應!D:D,對應!E:E,"未對應")</f>
        <v>5百事益</v>
      </c>
    </row>
    <row r="444" spans="1:8" x14ac:dyDescent="0.4">
      <c r="A444" t="s">
        <v>31</v>
      </c>
      <c r="B444">
        <v>2025</v>
      </c>
      <c r="C444">
        <v>4</v>
      </c>
      <c r="D444" t="s">
        <v>10</v>
      </c>
      <c r="E444" t="s">
        <v>21</v>
      </c>
      <c r="F444">
        <v>-790051</v>
      </c>
      <c r="G444" s="3" t="s">
        <v>22</v>
      </c>
      <c r="H444" t="str">
        <f>_xlfn.XLOOKUP(TRIM(D444),對應!D:D,對應!E:E,"未對應")</f>
        <v>3通路方案</v>
      </c>
    </row>
    <row r="445" spans="1:8" x14ac:dyDescent="0.4">
      <c r="A445" t="s">
        <v>31</v>
      </c>
      <c r="B445">
        <v>2025</v>
      </c>
      <c r="C445">
        <v>4</v>
      </c>
      <c r="D445" t="s">
        <v>10</v>
      </c>
      <c r="E445" t="s">
        <v>26</v>
      </c>
      <c r="F445">
        <v>-51707</v>
      </c>
      <c r="G445" s="3" t="s">
        <v>14</v>
      </c>
      <c r="H445" t="str">
        <f>_xlfn.XLOOKUP(TRIM(D445),對應!D:D,對應!E:E,"未對應")</f>
        <v>3通路方案</v>
      </c>
    </row>
    <row r="446" spans="1:8" x14ac:dyDescent="0.4">
      <c r="A446" t="s">
        <v>31</v>
      </c>
      <c r="B446">
        <v>2025</v>
      </c>
      <c r="C446">
        <v>5</v>
      </c>
      <c r="D446" t="s">
        <v>10</v>
      </c>
      <c r="E446" t="s">
        <v>25</v>
      </c>
      <c r="F446">
        <v>-35103</v>
      </c>
      <c r="G446" s="3" t="s">
        <v>14</v>
      </c>
      <c r="H446" t="str">
        <f>_xlfn.XLOOKUP(TRIM(D446),對應!D:D,對應!E:E,"未對應")</f>
        <v>3通路方案</v>
      </c>
    </row>
    <row r="447" spans="1:8" x14ac:dyDescent="0.4">
      <c r="A447" t="s">
        <v>7</v>
      </c>
      <c r="B447">
        <v>2025</v>
      </c>
      <c r="C447">
        <v>1</v>
      </c>
      <c r="D447" t="s">
        <v>10</v>
      </c>
      <c r="E447" t="s">
        <v>29</v>
      </c>
      <c r="F447">
        <v>8581125</v>
      </c>
      <c r="G447" s="3" t="s">
        <v>12</v>
      </c>
      <c r="H447" t="str">
        <f>_xlfn.XLOOKUP(TRIM(D447),對應!D:D,對應!E:E,"未對應")</f>
        <v>3通路方案</v>
      </c>
    </row>
    <row r="448" spans="1:8" x14ac:dyDescent="0.4">
      <c r="A448" t="s">
        <v>7</v>
      </c>
      <c r="B448">
        <v>2025</v>
      </c>
      <c r="C448">
        <v>1</v>
      </c>
      <c r="D448" t="s">
        <v>10</v>
      </c>
      <c r="E448" t="s">
        <v>30</v>
      </c>
      <c r="F448">
        <v>17685146</v>
      </c>
      <c r="G448" s="3" t="s">
        <v>12</v>
      </c>
      <c r="H448" t="str">
        <f>_xlfn.XLOOKUP(TRIM(D448),對應!D:D,對應!E:E,"未對應")</f>
        <v>3通路方案</v>
      </c>
    </row>
    <row r="449" spans="1:8" x14ac:dyDescent="0.4">
      <c r="A449" t="s">
        <v>7</v>
      </c>
      <c r="B449">
        <v>2025</v>
      </c>
      <c r="C449">
        <v>1</v>
      </c>
      <c r="D449" t="s">
        <v>10</v>
      </c>
      <c r="E449" t="s">
        <v>25</v>
      </c>
      <c r="F449">
        <v>-4357380</v>
      </c>
      <c r="G449" s="3" t="s">
        <v>14</v>
      </c>
      <c r="H449" t="str">
        <f>_xlfn.XLOOKUP(TRIM(D449),對應!D:D,對應!E:E,"未對應")</f>
        <v>3通路方案</v>
      </c>
    </row>
    <row r="450" spans="1:8" x14ac:dyDescent="0.4">
      <c r="A450" t="s">
        <v>7</v>
      </c>
      <c r="B450">
        <v>2025</v>
      </c>
      <c r="C450">
        <v>1</v>
      </c>
      <c r="D450" t="s">
        <v>10</v>
      </c>
      <c r="E450" t="s">
        <v>16</v>
      </c>
      <c r="F450">
        <v>3407855</v>
      </c>
      <c r="G450" s="3" t="s">
        <v>16</v>
      </c>
      <c r="H450" t="str">
        <f>_xlfn.XLOOKUP(TRIM(D450),對應!D:D,對應!E:E,"未對應")</f>
        <v>3通路方案</v>
      </c>
    </row>
    <row r="451" spans="1:8" x14ac:dyDescent="0.4">
      <c r="A451" t="s">
        <v>7</v>
      </c>
      <c r="B451">
        <v>2025</v>
      </c>
      <c r="C451">
        <v>1</v>
      </c>
      <c r="D451" t="s">
        <v>8</v>
      </c>
      <c r="E451" t="s">
        <v>33</v>
      </c>
      <c r="F451">
        <v>180996695</v>
      </c>
      <c r="G451" s="3" t="s">
        <v>9</v>
      </c>
      <c r="H451" t="str">
        <f>_xlfn.XLOOKUP(TRIM(D451),對應!D:D,對應!E:E,"未對應")</f>
        <v>1網通+技鋼</v>
      </c>
    </row>
    <row r="452" spans="1:8" x14ac:dyDescent="0.4">
      <c r="A452" t="s">
        <v>7</v>
      </c>
      <c r="B452">
        <v>2025</v>
      </c>
      <c r="C452">
        <v>2</v>
      </c>
      <c r="D452" t="s">
        <v>10</v>
      </c>
      <c r="E452" t="s">
        <v>24</v>
      </c>
      <c r="F452">
        <v>2600832064</v>
      </c>
      <c r="G452" s="3" t="s">
        <v>14</v>
      </c>
      <c r="H452" t="str">
        <f>_xlfn.XLOOKUP(TRIM(D452),對應!D:D,對應!E:E,"未對應")</f>
        <v>3通路方案</v>
      </c>
    </row>
    <row r="453" spans="1:8" x14ac:dyDescent="0.4">
      <c r="A453" t="s">
        <v>7</v>
      </c>
      <c r="B453">
        <v>2025</v>
      </c>
      <c r="C453">
        <v>3</v>
      </c>
      <c r="D453" t="s">
        <v>15</v>
      </c>
      <c r="E453" t="s">
        <v>16</v>
      </c>
      <c r="F453">
        <v>6898800</v>
      </c>
      <c r="G453" s="3" t="s">
        <v>16</v>
      </c>
      <c r="H453" t="str">
        <f>_xlfn.XLOOKUP(TRIM(D453),對應!D:D,對應!E:E,"未對應")</f>
        <v>7製造</v>
      </c>
    </row>
    <row r="454" spans="1:8" x14ac:dyDescent="0.4">
      <c r="A454" t="s">
        <v>7</v>
      </c>
      <c r="B454">
        <v>2025</v>
      </c>
      <c r="C454">
        <v>4</v>
      </c>
      <c r="D454" t="s">
        <v>10</v>
      </c>
      <c r="E454" t="s">
        <v>30</v>
      </c>
      <c r="F454">
        <v>12183175</v>
      </c>
      <c r="G454" s="3" t="s">
        <v>12</v>
      </c>
      <c r="H454" t="str">
        <f>_xlfn.XLOOKUP(TRIM(D454),對應!D:D,對應!E:E,"未對應")</f>
        <v>3通路方案</v>
      </c>
    </row>
    <row r="455" spans="1:8" x14ac:dyDescent="0.4">
      <c r="A455" t="s">
        <v>7</v>
      </c>
      <c r="B455">
        <v>2025</v>
      </c>
      <c r="C455">
        <v>4</v>
      </c>
      <c r="D455" t="s">
        <v>10</v>
      </c>
      <c r="E455" t="s">
        <v>25</v>
      </c>
      <c r="F455">
        <v>1091943</v>
      </c>
      <c r="G455" s="3" t="s">
        <v>14</v>
      </c>
      <c r="H455" t="str">
        <f>_xlfn.XLOOKUP(TRIM(D455),對應!D:D,對應!E:E,"未對應")</f>
        <v>3通路方案</v>
      </c>
    </row>
    <row r="456" spans="1:8" x14ac:dyDescent="0.4">
      <c r="A456" t="s">
        <v>7</v>
      </c>
      <c r="B456">
        <v>2025</v>
      </c>
      <c r="C456">
        <v>4</v>
      </c>
      <c r="D456" t="s">
        <v>10</v>
      </c>
      <c r="E456" t="s">
        <v>16</v>
      </c>
      <c r="F456">
        <v>3840410</v>
      </c>
      <c r="G456" s="3" t="s">
        <v>16</v>
      </c>
      <c r="H456" t="str">
        <f>_xlfn.XLOOKUP(TRIM(D456),對應!D:D,對應!E:E,"未對應")</f>
        <v>3通路方案</v>
      </c>
    </row>
    <row r="457" spans="1:8" x14ac:dyDescent="0.4">
      <c r="A457" t="s">
        <v>7</v>
      </c>
      <c r="B457">
        <v>2025</v>
      </c>
      <c r="C457">
        <v>4</v>
      </c>
      <c r="D457" t="s">
        <v>10</v>
      </c>
      <c r="E457" t="s">
        <v>35</v>
      </c>
      <c r="F457">
        <v>-3799</v>
      </c>
      <c r="G457" s="3" t="s">
        <v>22</v>
      </c>
      <c r="H457" t="str">
        <f>_xlfn.XLOOKUP(TRIM(D457),對應!D:D,對應!E:E,"未對應")</f>
        <v>3通路方案</v>
      </c>
    </row>
    <row r="458" spans="1:8" x14ac:dyDescent="0.4">
      <c r="A458" t="s">
        <v>7</v>
      </c>
      <c r="B458">
        <v>2025</v>
      </c>
      <c r="C458">
        <v>4</v>
      </c>
      <c r="D458" t="s">
        <v>8</v>
      </c>
      <c r="E458" t="s">
        <v>33</v>
      </c>
      <c r="F458">
        <v>36089121</v>
      </c>
      <c r="G458" s="3" t="s">
        <v>9</v>
      </c>
      <c r="H458" t="str">
        <f>_xlfn.XLOOKUP(TRIM(D458),對應!D:D,對應!E:E,"未對應")</f>
        <v>1網通+技鋼</v>
      </c>
    </row>
    <row r="459" spans="1:8" x14ac:dyDescent="0.4">
      <c r="A459" t="s">
        <v>7</v>
      </c>
      <c r="B459">
        <v>2025</v>
      </c>
      <c r="C459">
        <v>5</v>
      </c>
      <c r="D459" t="s">
        <v>10</v>
      </c>
      <c r="E459" t="s">
        <v>24</v>
      </c>
      <c r="F459">
        <v>2596468270</v>
      </c>
      <c r="G459" s="3" t="s">
        <v>14</v>
      </c>
      <c r="H459" t="str">
        <f>_xlfn.XLOOKUP(TRIM(D459),對應!D:D,對應!E:E,"未對應")</f>
        <v>3通路方案</v>
      </c>
    </row>
    <row r="460" spans="1:8" x14ac:dyDescent="0.4">
      <c r="A460" t="s">
        <v>7</v>
      </c>
      <c r="B460">
        <v>2025</v>
      </c>
      <c r="C460">
        <v>6</v>
      </c>
      <c r="D460" t="s">
        <v>15</v>
      </c>
      <c r="E460" t="s">
        <v>16</v>
      </c>
      <c r="F460">
        <v>8045995</v>
      </c>
      <c r="G460" s="3" t="s">
        <v>16</v>
      </c>
      <c r="H460" t="str">
        <f>_xlfn.XLOOKUP(TRIM(D460),對應!D:D,對應!E:E,"未對應")</f>
        <v>7製造</v>
      </c>
    </row>
    <row r="461" spans="1:8" x14ac:dyDescent="0.4">
      <c r="A461" t="s">
        <v>41</v>
      </c>
      <c r="B461">
        <v>2025</v>
      </c>
      <c r="C461">
        <v>8</v>
      </c>
      <c r="D461" t="s">
        <v>8</v>
      </c>
      <c r="E461" t="s">
        <v>33</v>
      </c>
      <c r="F461">
        <v>-11902030</v>
      </c>
      <c r="G461" s="3" t="s">
        <v>9</v>
      </c>
      <c r="H461" t="str">
        <f>_xlfn.XLOOKUP(TRIM(D461),對應!D:D,對應!E:E,"未對應")</f>
        <v>1網通+技鋼</v>
      </c>
    </row>
    <row r="462" spans="1:8" x14ac:dyDescent="0.4">
      <c r="A462" t="s">
        <v>41</v>
      </c>
      <c r="B462">
        <v>2025</v>
      </c>
      <c r="C462">
        <v>8</v>
      </c>
      <c r="D462" t="s">
        <v>8</v>
      </c>
      <c r="E462" t="s">
        <v>33</v>
      </c>
      <c r="F462">
        <v>-174642597</v>
      </c>
      <c r="G462" s="3" t="s">
        <v>9</v>
      </c>
      <c r="H462" t="str">
        <f>_xlfn.XLOOKUP(TRIM(D462),對應!D:D,對應!E:E,"未對應")</f>
        <v>1網通+技鋼</v>
      </c>
    </row>
    <row r="463" spans="1:8" x14ac:dyDescent="0.4">
      <c r="A463" t="s">
        <v>41</v>
      </c>
      <c r="B463">
        <v>2025</v>
      </c>
      <c r="C463">
        <v>8</v>
      </c>
      <c r="D463" t="s">
        <v>8</v>
      </c>
      <c r="E463" t="s">
        <v>33</v>
      </c>
      <c r="F463">
        <v>-179719326</v>
      </c>
      <c r="G463" s="3" t="s">
        <v>9</v>
      </c>
      <c r="H463" t="str">
        <f>_xlfn.XLOOKUP(TRIM(D463),對應!D:D,對應!E:E,"未對應")</f>
        <v>1網通+技鋼</v>
      </c>
    </row>
    <row r="464" spans="1:8" x14ac:dyDescent="0.4">
      <c r="A464" t="s">
        <v>41</v>
      </c>
      <c r="B464">
        <v>2025</v>
      </c>
      <c r="C464">
        <v>8</v>
      </c>
      <c r="D464" t="s">
        <v>8</v>
      </c>
      <c r="E464" t="s">
        <v>33</v>
      </c>
      <c r="F464">
        <v>-13012</v>
      </c>
      <c r="G464" s="3" t="s">
        <v>9</v>
      </c>
      <c r="H464" t="str">
        <f>_xlfn.XLOOKUP(TRIM(D464),對應!D:D,對應!E:E,"未對應")</f>
        <v>1網通+技鋼</v>
      </c>
    </row>
    <row r="465" spans="1:8" x14ac:dyDescent="0.4">
      <c r="A465" t="s">
        <v>41</v>
      </c>
      <c r="B465">
        <v>2025</v>
      </c>
      <c r="C465">
        <v>8</v>
      </c>
      <c r="D465" t="s">
        <v>8</v>
      </c>
      <c r="E465" t="s">
        <v>33</v>
      </c>
      <c r="F465">
        <v>-519873</v>
      </c>
      <c r="G465" s="3" t="s">
        <v>9</v>
      </c>
      <c r="H465" t="str">
        <f>_xlfn.XLOOKUP(TRIM(D465),對應!D:D,對應!E:E,"未對應")</f>
        <v>1網通+技鋼</v>
      </c>
    </row>
    <row r="466" spans="1:8" x14ac:dyDescent="0.4">
      <c r="A466" t="s">
        <v>44</v>
      </c>
      <c r="B466">
        <v>2025</v>
      </c>
      <c r="C466">
        <v>1</v>
      </c>
      <c r="D466" t="s">
        <v>32</v>
      </c>
      <c r="F466">
        <v>23436238</v>
      </c>
      <c r="G466" s="3" t="s">
        <v>32</v>
      </c>
      <c r="H466" t="str">
        <f>_xlfn.XLOOKUP(TRIM(D466),對應!D:D,對應!E:E,"未對應")</f>
        <v>5百事益</v>
      </c>
    </row>
    <row r="467" spans="1:8" x14ac:dyDescent="0.4">
      <c r="A467" t="s">
        <v>44</v>
      </c>
      <c r="B467">
        <v>2025</v>
      </c>
      <c r="C467">
        <v>4</v>
      </c>
      <c r="D467" t="s">
        <v>34</v>
      </c>
      <c r="F467">
        <v>19285290</v>
      </c>
      <c r="G467" s="3" t="s">
        <v>32</v>
      </c>
      <c r="H467" t="str">
        <f>_xlfn.XLOOKUP(TRIM(D467),對應!D:D,對應!E:E,"未對應")</f>
        <v>5百事益</v>
      </c>
    </row>
    <row r="468" spans="1:8" x14ac:dyDescent="0.4">
      <c r="A468" t="s">
        <v>41</v>
      </c>
      <c r="B468">
        <v>2025</v>
      </c>
      <c r="C468">
        <v>1</v>
      </c>
      <c r="D468" t="s">
        <v>32</v>
      </c>
      <c r="E468" t="s">
        <v>16</v>
      </c>
      <c r="F468">
        <v>-2505</v>
      </c>
      <c r="G468" s="3" t="s">
        <v>32</v>
      </c>
      <c r="H468" t="str">
        <f>_xlfn.XLOOKUP(TRIM(D468),對應!D:D,對應!E:E,"未對應")</f>
        <v>5百事益</v>
      </c>
    </row>
    <row r="469" spans="1:8" x14ac:dyDescent="0.4">
      <c r="A469" t="s">
        <v>41</v>
      </c>
      <c r="B469">
        <v>2025</v>
      </c>
      <c r="C469">
        <v>2</v>
      </c>
      <c r="D469" t="s">
        <v>32</v>
      </c>
      <c r="E469" t="s">
        <v>16</v>
      </c>
      <c r="F469">
        <v>-10963914</v>
      </c>
      <c r="G469" s="3" t="s">
        <v>32</v>
      </c>
      <c r="H469" t="str">
        <f>_xlfn.XLOOKUP(TRIM(D469),對應!D:D,對應!E:E,"未對應")</f>
        <v>5百事益</v>
      </c>
    </row>
    <row r="470" spans="1:8" x14ac:dyDescent="0.4">
      <c r="A470" t="s">
        <v>41</v>
      </c>
      <c r="B470">
        <v>2025</v>
      </c>
      <c r="C470">
        <v>2</v>
      </c>
      <c r="D470" t="s">
        <v>8</v>
      </c>
      <c r="E470" t="s">
        <v>33</v>
      </c>
      <c r="F470">
        <v>-26330713</v>
      </c>
      <c r="G470" s="3" t="s">
        <v>9</v>
      </c>
      <c r="H470" t="str">
        <f>_xlfn.XLOOKUP(TRIM(D470),對應!D:D,對應!E:E,"未對應")</f>
        <v>1網通+技鋼</v>
      </c>
    </row>
    <row r="471" spans="1:8" x14ac:dyDescent="0.4">
      <c r="A471" t="s">
        <v>41</v>
      </c>
      <c r="B471">
        <v>2025</v>
      </c>
      <c r="C471">
        <v>3</v>
      </c>
      <c r="D471" t="s">
        <v>32</v>
      </c>
      <c r="E471" t="s">
        <v>16</v>
      </c>
      <c r="F471">
        <v>-67893</v>
      </c>
      <c r="G471" s="3" t="s">
        <v>32</v>
      </c>
      <c r="H471" t="str">
        <f>_xlfn.XLOOKUP(TRIM(D471),對應!D:D,對應!E:E,"未對應")</f>
        <v>5百事益</v>
      </c>
    </row>
    <row r="472" spans="1:8" x14ac:dyDescent="0.4">
      <c r="A472" t="s">
        <v>41</v>
      </c>
      <c r="B472">
        <v>2025</v>
      </c>
      <c r="C472">
        <v>3</v>
      </c>
      <c r="D472" t="s">
        <v>8</v>
      </c>
      <c r="E472" t="s">
        <v>33</v>
      </c>
      <c r="F472">
        <v>-82685</v>
      </c>
      <c r="G472" s="3" t="s">
        <v>9</v>
      </c>
      <c r="H472" t="str">
        <f>_xlfn.XLOOKUP(TRIM(D472),對應!D:D,對應!E:E,"未對應")</f>
        <v>1網通+技鋼</v>
      </c>
    </row>
    <row r="473" spans="1:8" x14ac:dyDescent="0.4">
      <c r="A473" t="s">
        <v>41</v>
      </c>
      <c r="B473">
        <v>2025</v>
      </c>
      <c r="C473">
        <v>5</v>
      </c>
      <c r="D473" t="s">
        <v>37</v>
      </c>
      <c r="E473" t="s">
        <v>16</v>
      </c>
      <c r="F473">
        <v>-925810</v>
      </c>
      <c r="G473" s="3" t="s">
        <v>37</v>
      </c>
      <c r="H473" t="str">
        <f>_xlfn.XLOOKUP(TRIM(D473),對應!D:D,對應!E:E,"未對應")</f>
        <v>6雲城</v>
      </c>
    </row>
    <row r="474" spans="1:8" x14ac:dyDescent="0.4">
      <c r="A474" t="s">
        <v>41</v>
      </c>
      <c r="B474">
        <v>2025</v>
      </c>
      <c r="C474">
        <v>5</v>
      </c>
      <c r="D474" t="s">
        <v>37</v>
      </c>
      <c r="E474" t="s">
        <v>16</v>
      </c>
      <c r="F474">
        <v>-26260</v>
      </c>
      <c r="G474" s="3" t="s">
        <v>37</v>
      </c>
      <c r="H474" t="str">
        <f>_xlfn.XLOOKUP(TRIM(D474),對應!D:D,對應!E:E,"未對應")</f>
        <v>6雲城</v>
      </c>
    </row>
    <row r="475" spans="1:8" x14ac:dyDescent="0.4">
      <c r="A475" t="s">
        <v>41</v>
      </c>
      <c r="B475">
        <v>2025</v>
      </c>
      <c r="C475">
        <v>6</v>
      </c>
      <c r="D475" t="s">
        <v>8</v>
      </c>
      <c r="E475" t="s">
        <v>33</v>
      </c>
      <c r="F475">
        <v>-117866735</v>
      </c>
      <c r="G475" s="3" t="s">
        <v>9</v>
      </c>
      <c r="H475" t="str">
        <f>_xlfn.XLOOKUP(TRIM(D475),對應!D:D,對應!E:E,"未對應")</f>
        <v>1網通+技鋼</v>
      </c>
    </row>
    <row r="476" spans="1:8" x14ac:dyDescent="0.4">
      <c r="A476" t="s">
        <v>46</v>
      </c>
      <c r="B476">
        <v>2025</v>
      </c>
      <c r="C476">
        <v>5</v>
      </c>
      <c r="D476" t="s">
        <v>15</v>
      </c>
      <c r="E476" t="s">
        <v>16</v>
      </c>
      <c r="F476">
        <v>6849308</v>
      </c>
      <c r="G476" s="3" t="s">
        <v>16</v>
      </c>
      <c r="H476" t="str">
        <f>_xlfn.XLOOKUP(TRIM(D476),對應!D:D,對應!E:E,"未對應")</f>
        <v>7製造</v>
      </c>
    </row>
    <row r="477" spans="1:8" x14ac:dyDescent="0.4">
      <c r="A477" t="s">
        <v>41</v>
      </c>
      <c r="B477">
        <v>2025</v>
      </c>
      <c r="C477">
        <v>1</v>
      </c>
      <c r="D477" t="s">
        <v>32</v>
      </c>
      <c r="E477" t="s">
        <v>16</v>
      </c>
      <c r="F477">
        <v>-73654060</v>
      </c>
      <c r="G477" s="3" t="s">
        <v>32</v>
      </c>
      <c r="H477" t="str">
        <f>_xlfn.XLOOKUP(TRIM(D477),對應!D:D,對應!E:E,"未對應")</f>
        <v>5百事益</v>
      </c>
    </row>
    <row r="478" spans="1:8" x14ac:dyDescent="0.4">
      <c r="A478" t="s">
        <v>41</v>
      </c>
      <c r="B478">
        <v>2025</v>
      </c>
      <c r="C478">
        <v>1</v>
      </c>
      <c r="D478" t="s">
        <v>37</v>
      </c>
      <c r="E478" t="s">
        <v>16</v>
      </c>
      <c r="F478">
        <v>-82750</v>
      </c>
      <c r="G478" s="3" t="s">
        <v>37</v>
      </c>
      <c r="H478" t="str">
        <f>_xlfn.XLOOKUP(TRIM(D478),對應!D:D,對應!E:E,"未對應")</f>
        <v>6雲城</v>
      </c>
    </row>
    <row r="479" spans="1:8" x14ac:dyDescent="0.4">
      <c r="A479" t="s">
        <v>41</v>
      </c>
      <c r="B479">
        <v>2025</v>
      </c>
      <c r="C479">
        <v>2</v>
      </c>
      <c r="D479" t="s">
        <v>32</v>
      </c>
      <c r="E479" t="s">
        <v>16</v>
      </c>
      <c r="F479">
        <v>-57760</v>
      </c>
      <c r="G479" s="3" t="s">
        <v>32</v>
      </c>
      <c r="H479" t="str">
        <f>_xlfn.XLOOKUP(TRIM(D479),對應!D:D,對應!E:E,"未對應")</f>
        <v>5百事益</v>
      </c>
    </row>
    <row r="480" spans="1:8" x14ac:dyDescent="0.4">
      <c r="A480" t="s">
        <v>41</v>
      </c>
      <c r="B480">
        <v>2025</v>
      </c>
      <c r="C480">
        <v>3</v>
      </c>
      <c r="D480" t="s">
        <v>32</v>
      </c>
      <c r="E480" t="s">
        <v>16</v>
      </c>
      <c r="F480">
        <v>-14632038</v>
      </c>
      <c r="G480" s="3" t="s">
        <v>32</v>
      </c>
      <c r="H480" t="str">
        <f>_xlfn.XLOOKUP(TRIM(D480),對應!D:D,對應!E:E,"未對應")</f>
        <v>5百事益</v>
      </c>
    </row>
    <row r="481" spans="1:8" x14ac:dyDescent="0.4">
      <c r="A481" t="s">
        <v>41</v>
      </c>
      <c r="B481">
        <v>2025</v>
      </c>
      <c r="C481">
        <v>3</v>
      </c>
      <c r="D481" t="s">
        <v>39</v>
      </c>
      <c r="E481" t="s">
        <v>40</v>
      </c>
      <c r="F481">
        <v>-52800</v>
      </c>
      <c r="G481" s="3" t="s">
        <v>42</v>
      </c>
      <c r="H481" t="str">
        <f>_xlfn.XLOOKUP(TRIM(D481),對應!D:D,對應!E:E,"未對應")</f>
        <v>2技宸</v>
      </c>
    </row>
    <row r="482" spans="1:8" x14ac:dyDescent="0.4">
      <c r="A482" t="s">
        <v>41</v>
      </c>
      <c r="B482">
        <v>2025</v>
      </c>
      <c r="C482">
        <v>3</v>
      </c>
      <c r="D482" t="s">
        <v>8</v>
      </c>
      <c r="E482" t="s">
        <v>33</v>
      </c>
      <c r="F482">
        <v>-29668024</v>
      </c>
      <c r="G482" s="3" t="s">
        <v>9</v>
      </c>
      <c r="H482" t="str">
        <f>_xlfn.XLOOKUP(TRIM(D482),對應!D:D,對應!E:E,"未對應")</f>
        <v>1網通+技鋼</v>
      </c>
    </row>
    <row r="483" spans="1:8" x14ac:dyDescent="0.4">
      <c r="A483" t="s">
        <v>41</v>
      </c>
      <c r="B483">
        <v>2025</v>
      </c>
      <c r="C483">
        <v>4</v>
      </c>
      <c r="D483" t="s">
        <v>32</v>
      </c>
      <c r="E483" t="s">
        <v>16</v>
      </c>
      <c r="F483">
        <v>-53712903</v>
      </c>
      <c r="G483" s="3" t="s">
        <v>32</v>
      </c>
      <c r="H483" t="str">
        <f>_xlfn.XLOOKUP(TRIM(D483),對應!D:D,對應!E:E,"未對應")</f>
        <v>5百事益</v>
      </c>
    </row>
    <row r="484" spans="1:8" x14ac:dyDescent="0.4">
      <c r="A484" t="s">
        <v>41</v>
      </c>
      <c r="B484">
        <v>2025</v>
      </c>
      <c r="C484">
        <v>4</v>
      </c>
      <c r="D484" t="s">
        <v>17</v>
      </c>
      <c r="E484" t="s">
        <v>18</v>
      </c>
      <c r="F484">
        <v>-76051729</v>
      </c>
      <c r="G484" s="3" t="s">
        <v>19</v>
      </c>
      <c r="H484" t="str">
        <f>_xlfn.XLOOKUP(TRIM(D484),對應!D:D,對應!E:E,"未對應")</f>
        <v>4筆電+盈嘉</v>
      </c>
    </row>
    <row r="485" spans="1:8" x14ac:dyDescent="0.4">
      <c r="A485" t="s">
        <v>41</v>
      </c>
      <c r="B485">
        <v>2025</v>
      </c>
      <c r="C485">
        <v>4</v>
      </c>
      <c r="D485" t="s">
        <v>37</v>
      </c>
      <c r="E485" t="s">
        <v>16</v>
      </c>
      <c r="F485">
        <v>-50840</v>
      </c>
      <c r="G485" s="3" t="s">
        <v>37</v>
      </c>
      <c r="H485" t="str">
        <f>_xlfn.XLOOKUP(TRIM(D485),對應!D:D,對應!E:E,"未對應")</f>
        <v>6雲城</v>
      </c>
    </row>
    <row r="486" spans="1:8" x14ac:dyDescent="0.4">
      <c r="A486" t="s">
        <v>41</v>
      </c>
      <c r="B486">
        <v>2025</v>
      </c>
      <c r="C486">
        <v>5</v>
      </c>
      <c r="D486" t="s">
        <v>32</v>
      </c>
      <c r="E486" t="s">
        <v>16</v>
      </c>
      <c r="F486">
        <v>-24700</v>
      </c>
      <c r="G486" s="3" t="s">
        <v>32</v>
      </c>
      <c r="H486" t="str">
        <f>_xlfn.XLOOKUP(TRIM(D486),對應!D:D,對應!E:E,"未對應")</f>
        <v>5百事益</v>
      </c>
    </row>
    <row r="487" spans="1:8" x14ac:dyDescent="0.4">
      <c r="A487" t="s">
        <v>41</v>
      </c>
      <c r="B487">
        <v>2025</v>
      </c>
      <c r="C487">
        <v>6</v>
      </c>
      <c r="D487" t="s">
        <v>32</v>
      </c>
      <c r="E487" t="s">
        <v>16</v>
      </c>
      <c r="F487">
        <v>-13176173</v>
      </c>
      <c r="G487" s="3" t="s">
        <v>32</v>
      </c>
      <c r="H487" t="str">
        <f>_xlfn.XLOOKUP(TRIM(D487),對應!D:D,對應!E:E,"未對應")</f>
        <v>5百事益</v>
      </c>
    </row>
    <row r="488" spans="1:8" x14ac:dyDescent="0.4">
      <c r="A488" t="s">
        <v>7</v>
      </c>
      <c r="B488">
        <v>2025</v>
      </c>
      <c r="C488">
        <v>10</v>
      </c>
      <c r="D488" t="s">
        <v>10</v>
      </c>
      <c r="E488" t="s">
        <v>29</v>
      </c>
      <c r="F488">
        <v>100981635</v>
      </c>
      <c r="G488" s="3" t="s">
        <v>12</v>
      </c>
      <c r="H488" t="str">
        <f>_xlfn.XLOOKUP(TRIM(D488),對應!D:D,對應!E:E,"未對應")</f>
        <v>3通路方案</v>
      </c>
    </row>
    <row r="489" spans="1:8" x14ac:dyDescent="0.4">
      <c r="A489" t="s">
        <v>7</v>
      </c>
      <c r="B489">
        <v>2025</v>
      </c>
      <c r="C489">
        <v>10</v>
      </c>
      <c r="D489" t="s">
        <v>10</v>
      </c>
      <c r="E489" t="s">
        <v>30</v>
      </c>
      <c r="F489">
        <v>6357942</v>
      </c>
      <c r="G489" s="3" t="s">
        <v>12</v>
      </c>
      <c r="H489" t="str">
        <f>_xlfn.XLOOKUP(TRIM(D489),對應!D:D,對應!E:E,"未對應")</f>
        <v>3通路方案</v>
      </c>
    </row>
    <row r="490" spans="1:8" x14ac:dyDescent="0.4">
      <c r="A490" t="s">
        <v>7</v>
      </c>
      <c r="B490">
        <v>2025</v>
      </c>
      <c r="C490">
        <v>10</v>
      </c>
      <c r="D490" t="s">
        <v>10</v>
      </c>
      <c r="E490" t="s">
        <v>20</v>
      </c>
      <c r="F490">
        <v>11809872</v>
      </c>
      <c r="G490" s="3" t="s">
        <v>12</v>
      </c>
      <c r="H490" t="str">
        <f>_xlfn.XLOOKUP(TRIM(D490),對應!D:D,對應!E:E,"未對應")</f>
        <v>3通路方案</v>
      </c>
    </row>
    <row r="491" spans="1:8" x14ac:dyDescent="0.4">
      <c r="A491" t="s">
        <v>7</v>
      </c>
      <c r="B491">
        <v>2025</v>
      </c>
      <c r="C491">
        <v>10</v>
      </c>
      <c r="D491" t="s">
        <v>10</v>
      </c>
      <c r="E491" t="s">
        <v>25</v>
      </c>
      <c r="F491">
        <v>1705846</v>
      </c>
      <c r="G491" s="3" t="s">
        <v>14</v>
      </c>
      <c r="H491" t="str">
        <f>_xlfn.XLOOKUP(TRIM(D491),對應!D:D,對應!E:E,"未對應")</f>
        <v>3通路方案</v>
      </c>
    </row>
    <row r="492" spans="1:8" x14ac:dyDescent="0.4">
      <c r="A492" t="s">
        <v>7</v>
      </c>
      <c r="B492">
        <v>2025</v>
      </c>
      <c r="C492">
        <v>10</v>
      </c>
      <c r="D492" t="s">
        <v>10</v>
      </c>
      <c r="E492" t="s">
        <v>27</v>
      </c>
      <c r="F492">
        <v>314032161</v>
      </c>
      <c r="G492" s="3" t="s">
        <v>28</v>
      </c>
      <c r="H492" t="str">
        <f>_xlfn.XLOOKUP(TRIM(D492),對應!D:D,對應!E:E,"未對應")</f>
        <v>3通路方案</v>
      </c>
    </row>
    <row r="493" spans="1:8" x14ac:dyDescent="0.4">
      <c r="A493" t="s">
        <v>7</v>
      </c>
      <c r="B493">
        <v>2025</v>
      </c>
      <c r="C493">
        <v>10</v>
      </c>
      <c r="D493" t="s">
        <v>10</v>
      </c>
      <c r="E493" t="s">
        <v>16</v>
      </c>
      <c r="F493">
        <v>7083399</v>
      </c>
      <c r="G493" s="3" t="s">
        <v>16</v>
      </c>
      <c r="H493" t="str">
        <f>_xlfn.XLOOKUP(TRIM(D493),對應!D:D,對應!E:E,"未對應")</f>
        <v>3通路方案</v>
      </c>
    </row>
    <row r="494" spans="1:8" x14ac:dyDescent="0.4">
      <c r="A494" t="s">
        <v>7</v>
      </c>
      <c r="B494">
        <v>2025</v>
      </c>
      <c r="C494">
        <v>10</v>
      </c>
      <c r="D494" t="s">
        <v>10</v>
      </c>
      <c r="E494" t="s">
        <v>11</v>
      </c>
      <c r="F494">
        <v>77713084</v>
      </c>
      <c r="G494" s="3" t="s">
        <v>12</v>
      </c>
      <c r="H494" t="str">
        <f>_xlfn.XLOOKUP(TRIM(D494),對應!D:D,對應!E:E,"未對應")</f>
        <v>3通路方案</v>
      </c>
    </row>
    <row r="495" spans="1:8" x14ac:dyDescent="0.4">
      <c r="A495" t="s">
        <v>41</v>
      </c>
      <c r="B495">
        <v>2025</v>
      </c>
      <c r="C495">
        <v>1</v>
      </c>
      <c r="D495" t="s">
        <v>8</v>
      </c>
      <c r="E495" t="s">
        <v>33</v>
      </c>
      <c r="F495">
        <v>-196078651</v>
      </c>
      <c r="G495" s="3" t="s">
        <v>9</v>
      </c>
      <c r="H495" t="str">
        <f>_xlfn.XLOOKUP(TRIM(D495),對應!D:D,對應!E:E,"未對應")</f>
        <v>1網通+技鋼</v>
      </c>
    </row>
    <row r="496" spans="1:8" x14ac:dyDescent="0.4">
      <c r="A496" t="s">
        <v>36</v>
      </c>
      <c r="B496">
        <v>2025</v>
      </c>
      <c r="C496">
        <v>9</v>
      </c>
      <c r="D496" t="s">
        <v>15</v>
      </c>
      <c r="E496" t="s">
        <v>16</v>
      </c>
      <c r="F496">
        <v>2176000</v>
      </c>
      <c r="G496" s="3" t="s">
        <v>16</v>
      </c>
      <c r="H496" t="str">
        <f>_xlfn.XLOOKUP(TRIM(D496),對應!D:D,對應!E:E,"未對應")</f>
        <v>7製造</v>
      </c>
    </row>
    <row r="497" spans="1:8" x14ac:dyDescent="0.4">
      <c r="A497" t="s">
        <v>31</v>
      </c>
      <c r="B497">
        <v>2025</v>
      </c>
      <c r="C497">
        <v>1</v>
      </c>
      <c r="D497" t="s">
        <v>10</v>
      </c>
      <c r="E497" t="s">
        <v>21</v>
      </c>
      <c r="F497">
        <v>-47895</v>
      </c>
      <c r="G497" s="3" t="s">
        <v>22</v>
      </c>
      <c r="H497" t="str">
        <f>_xlfn.XLOOKUP(TRIM(D497),對應!D:D,對應!E:E,"未對應")</f>
        <v>3通路方案</v>
      </c>
    </row>
    <row r="498" spans="1:8" x14ac:dyDescent="0.4">
      <c r="A498" t="s">
        <v>31</v>
      </c>
      <c r="B498">
        <v>2025</v>
      </c>
      <c r="C498">
        <v>1</v>
      </c>
      <c r="D498" t="s">
        <v>32</v>
      </c>
      <c r="E498" t="s">
        <v>16</v>
      </c>
      <c r="F498">
        <v>-2333</v>
      </c>
      <c r="G498" s="3" t="s">
        <v>32</v>
      </c>
      <c r="H498" t="str">
        <f>_xlfn.XLOOKUP(TRIM(D498),對應!D:D,對應!E:E,"未對應")</f>
        <v>5百事益</v>
      </c>
    </row>
    <row r="499" spans="1:8" x14ac:dyDescent="0.4">
      <c r="A499" t="s">
        <v>31</v>
      </c>
      <c r="B499">
        <v>2025</v>
      </c>
      <c r="C499">
        <v>2</v>
      </c>
      <c r="D499" t="s">
        <v>32</v>
      </c>
      <c r="E499" t="s">
        <v>16</v>
      </c>
      <c r="F499">
        <v>-8682526</v>
      </c>
      <c r="G499" s="3" t="s">
        <v>32</v>
      </c>
      <c r="H499" t="str">
        <f>_xlfn.XLOOKUP(TRIM(D499),對應!D:D,對應!E:E,"未對應")</f>
        <v>5百事益</v>
      </c>
    </row>
    <row r="500" spans="1:8" x14ac:dyDescent="0.4">
      <c r="A500" t="s">
        <v>31</v>
      </c>
      <c r="B500">
        <v>2025</v>
      </c>
      <c r="C500">
        <v>2</v>
      </c>
      <c r="D500" t="s">
        <v>8</v>
      </c>
      <c r="E500" t="s">
        <v>33</v>
      </c>
      <c r="F500">
        <v>-10566662</v>
      </c>
      <c r="G500" s="3" t="s">
        <v>9</v>
      </c>
      <c r="H500" t="str">
        <f>_xlfn.XLOOKUP(TRIM(D500),對應!D:D,對應!E:E,"未對應")</f>
        <v>1網通+技鋼</v>
      </c>
    </row>
    <row r="501" spans="1:8" x14ac:dyDescent="0.4">
      <c r="A501" t="s">
        <v>31</v>
      </c>
      <c r="B501">
        <v>2025</v>
      </c>
      <c r="C501">
        <v>3</v>
      </c>
      <c r="D501" t="s">
        <v>32</v>
      </c>
      <c r="E501" t="s">
        <v>16</v>
      </c>
      <c r="F501">
        <v>-5550187</v>
      </c>
      <c r="G501" s="3" t="s">
        <v>32</v>
      </c>
      <c r="H501" t="str">
        <f>_xlfn.XLOOKUP(TRIM(D501),對應!D:D,對應!E:E,"未對應")</f>
        <v>5百事益</v>
      </c>
    </row>
    <row r="502" spans="1:8" x14ac:dyDescent="0.4">
      <c r="A502" t="s">
        <v>31</v>
      </c>
      <c r="B502">
        <v>2025</v>
      </c>
      <c r="C502">
        <v>4</v>
      </c>
      <c r="D502" t="s">
        <v>10</v>
      </c>
      <c r="E502" t="s">
        <v>13</v>
      </c>
      <c r="F502">
        <v>-1473</v>
      </c>
      <c r="G502" s="3" t="s">
        <v>14</v>
      </c>
      <c r="H502" t="str">
        <f>_xlfn.XLOOKUP(TRIM(D502),對應!D:D,對應!E:E,"未對應")</f>
        <v>3通路方案</v>
      </c>
    </row>
    <row r="503" spans="1:8" x14ac:dyDescent="0.4">
      <c r="A503" t="s">
        <v>31</v>
      </c>
      <c r="B503">
        <v>2025</v>
      </c>
      <c r="C503">
        <v>4</v>
      </c>
      <c r="D503" t="s">
        <v>10</v>
      </c>
      <c r="E503" t="s">
        <v>16</v>
      </c>
      <c r="F503">
        <v>-500106</v>
      </c>
      <c r="G503" s="3" t="s">
        <v>16</v>
      </c>
      <c r="H503" t="str">
        <f>_xlfn.XLOOKUP(TRIM(D503),對應!D:D,對應!E:E,"未對應")</f>
        <v>3通路方案</v>
      </c>
    </row>
    <row r="504" spans="1:8" x14ac:dyDescent="0.4">
      <c r="A504" t="s">
        <v>31</v>
      </c>
      <c r="B504">
        <v>2025</v>
      </c>
      <c r="C504">
        <v>4</v>
      </c>
      <c r="D504" t="s">
        <v>10</v>
      </c>
      <c r="E504" t="s">
        <v>25</v>
      </c>
      <c r="F504">
        <v>-35219</v>
      </c>
      <c r="G504" s="3" t="s">
        <v>14</v>
      </c>
      <c r="H504" t="str">
        <f>_xlfn.XLOOKUP(TRIM(D504),對應!D:D,對應!E:E,"未對應")</f>
        <v>3通路方案</v>
      </c>
    </row>
    <row r="505" spans="1:8" x14ac:dyDescent="0.4">
      <c r="A505" t="s">
        <v>31</v>
      </c>
      <c r="B505">
        <v>2025</v>
      </c>
      <c r="C505">
        <v>5</v>
      </c>
      <c r="D505" t="s">
        <v>32</v>
      </c>
      <c r="E505" t="s">
        <v>16</v>
      </c>
      <c r="F505">
        <v>-84777</v>
      </c>
      <c r="G505" s="3" t="s">
        <v>32</v>
      </c>
      <c r="H505" t="str">
        <f>_xlfn.XLOOKUP(TRIM(D505),對應!D:D,對應!E:E,"未對應")</f>
        <v>5百事益</v>
      </c>
    </row>
    <row r="506" spans="1:8" x14ac:dyDescent="0.4">
      <c r="A506" t="s">
        <v>31</v>
      </c>
      <c r="B506">
        <v>2025</v>
      </c>
      <c r="C506">
        <v>5</v>
      </c>
      <c r="D506" t="s">
        <v>17</v>
      </c>
      <c r="E506" t="s">
        <v>18</v>
      </c>
      <c r="F506">
        <v>-2512180</v>
      </c>
      <c r="G506" s="3" t="s">
        <v>19</v>
      </c>
      <c r="H506" t="str">
        <f>_xlfn.XLOOKUP(TRIM(D506),對應!D:D,對應!E:E,"未對應")</f>
        <v>4筆電+盈嘉</v>
      </c>
    </row>
    <row r="507" spans="1:8" x14ac:dyDescent="0.4">
      <c r="A507" t="s">
        <v>31</v>
      </c>
      <c r="B507">
        <v>2025</v>
      </c>
      <c r="C507">
        <v>5</v>
      </c>
      <c r="D507" t="s">
        <v>10</v>
      </c>
      <c r="E507" t="s">
        <v>24</v>
      </c>
      <c r="F507">
        <v>-10071408</v>
      </c>
      <c r="G507" s="3" t="s">
        <v>14</v>
      </c>
      <c r="H507" t="str">
        <f>_xlfn.XLOOKUP(TRIM(D507),對應!D:D,對應!E:E,"未對應")</f>
        <v>3通路方案</v>
      </c>
    </row>
    <row r="508" spans="1:8" x14ac:dyDescent="0.4">
      <c r="A508" t="s">
        <v>31</v>
      </c>
      <c r="B508">
        <v>2025</v>
      </c>
      <c r="C508">
        <v>6</v>
      </c>
      <c r="D508" t="s">
        <v>32</v>
      </c>
      <c r="E508" t="s">
        <v>16</v>
      </c>
      <c r="F508">
        <v>-2132824</v>
      </c>
      <c r="G508" s="3" t="s">
        <v>32</v>
      </c>
      <c r="H508" t="str">
        <f>_xlfn.XLOOKUP(TRIM(D508),對應!D:D,對應!E:E,"未對應")</f>
        <v>5百事益</v>
      </c>
    </row>
    <row r="509" spans="1:8" x14ac:dyDescent="0.4">
      <c r="A509" t="s">
        <v>31</v>
      </c>
      <c r="B509">
        <v>2025</v>
      </c>
      <c r="C509">
        <v>6</v>
      </c>
      <c r="D509" t="s">
        <v>10</v>
      </c>
      <c r="E509" t="s">
        <v>16</v>
      </c>
      <c r="F509">
        <v>-764533</v>
      </c>
      <c r="G509" s="3" t="s">
        <v>16</v>
      </c>
      <c r="H509" t="str">
        <f>_xlfn.XLOOKUP(TRIM(D509),對應!D:D,對應!E:E,"未對應")</f>
        <v>3通路方案</v>
      </c>
    </row>
    <row r="510" spans="1:8" x14ac:dyDescent="0.4">
      <c r="A510" t="s">
        <v>31</v>
      </c>
      <c r="B510">
        <v>2025</v>
      </c>
      <c r="C510">
        <v>6</v>
      </c>
      <c r="D510" t="s">
        <v>32</v>
      </c>
      <c r="E510" t="s">
        <v>16</v>
      </c>
      <c r="F510">
        <v>-2414279</v>
      </c>
      <c r="G510" s="3" t="s">
        <v>32</v>
      </c>
      <c r="H510" t="str">
        <f>_xlfn.XLOOKUP(TRIM(D510),對應!D:D,對應!E:E,"未對應")</f>
        <v>5百事益</v>
      </c>
    </row>
    <row r="511" spans="1:8" x14ac:dyDescent="0.4">
      <c r="A511" t="s">
        <v>31</v>
      </c>
      <c r="B511">
        <v>2025</v>
      </c>
      <c r="C511">
        <v>6</v>
      </c>
      <c r="D511" t="s">
        <v>10</v>
      </c>
      <c r="E511" t="s">
        <v>11</v>
      </c>
      <c r="F511">
        <v>-966313</v>
      </c>
      <c r="G511" s="3" t="s">
        <v>12</v>
      </c>
      <c r="H511" t="str">
        <f>_xlfn.XLOOKUP(TRIM(D511),對應!D:D,對應!E:E,"未對應")</f>
        <v>3通路方案</v>
      </c>
    </row>
    <row r="512" spans="1:8" x14ac:dyDescent="0.4">
      <c r="A512" t="s">
        <v>31</v>
      </c>
      <c r="B512">
        <v>2025</v>
      </c>
      <c r="C512">
        <v>6</v>
      </c>
      <c r="D512" t="s">
        <v>32</v>
      </c>
      <c r="E512" t="s">
        <v>16</v>
      </c>
      <c r="F512">
        <v>-384865</v>
      </c>
      <c r="G512" s="3" t="s">
        <v>32</v>
      </c>
      <c r="H512" t="str">
        <f>_xlfn.XLOOKUP(TRIM(D512),對應!D:D,對應!E:E,"未對應")</f>
        <v>5百事益</v>
      </c>
    </row>
    <row r="513" spans="1:8" x14ac:dyDescent="0.4">
      <c r="A513" t="s">
        <v>31</v>
      </c>
      <c r="B513">
        <v>2025</v>
      </c>
      <c r="C513">
        <v>1</v>
      </c>
      <c r="D513" t="s">
        <v>32</v>
      </c>
      <c r="E513" t="s">
        <v>16</v>
      </c>
      <c r="F513">
        <v>-2627890</v>
      </c>
      <c r="G513" s="3" t="s">
        <v>32</v>
      </c>
      <c r="H513" t="str">
        <f>_xlfn.XLOOKUP(TRIM(D513),對應!D:D,對應!E:E,"未對應")</f>
        <v>5百事益</v>
      </c>
    </row>
    <row r="514" spans="1:8" x14ac:dyDescent="0.4">
      <c r="A514" t="s">
        <v>31</v>
      </c>
      <c r="B514">
        <v>2025</v>
      </c>
      <c r="C514">
        <v>2</v>
      </c>
      <c r="D514" t="s">
        <v>32</v>
      </c>
      <c r="E514" t="s">
        <v>16</v>
      </c>
      <c r="F514">
        <v>-124755</v>
      </c>
      <c r="G514" s="3" t="s">
        <v>32</v>
      </c>
      <c r="H514" t="str">
        <f>_xlfn.XLOOKUP(TRIM(D514),對應!D:D,對應!E:E,"未對應")</f>
        <v>5百事益</v>
      </c>
    </row>
    <row r="515" spans="1:8" x14ac:dyDescent="0.4">
      <c r="A515" t="s">
        <v>31</v>
      </c>
      <c r="B515">
        <v>2025</v>
      </c>
      <c r="C515">
        <v>2</v>
      </c>
      <c r="D515" t="s">
        <v>8</v>
      </c>
      <c r="E515" t="s">
        <v>33</v>
      </c>
      <c r="F515">
        <v>-5501442</v>
      </c>
      <c r="G515" s="3" t="s">
        <v>9</v>
      </c>
      <c r="H515" t="str">
        <f>_xlfn.XLOOKUP(TRIM(D515),對應!D:D,對應!E:E,"未對應")</f>
        <v>1網通+技鋼</v>
      </c>
    </row>
    <row r="516" spans="1:8" x14ac:dyDescent="0.4">
      <c r="A516" t="s">
        <v>31</v>
      </c>
      <c r="B516">
        <v>2025</v>
      </c>
      <c r="C516">
        <v>2</v>
      </c>
      <c r="D516" t="s">
        <v>32</v>
      </c>
      <c r="E516" t="s">
        <v>16</v>
      </c>
      <c r="F516">
        <v>-13406045</v>
      </c>
      <c r="G516" s="3" t="s">
        <v>32</v>
      </c>
      <c r="H516" t="str">
        <f>_xlfn.XLOOKUP(TRIM(D516),對應!D:D,對應!E:E,"未對應")</f>
        <v>5百事益</v>
      </c>
    </row>
    <row r="517" spans="1:8" x14ac:dyDescent="0.4">
      <c r="A517" t="s">
        <v>31</v>
      </c>
      <c r="B517">
        <v>2025</v>
      </c>
      <c r="C517">
        <v>3</v>
      </c>
      <c r="D517" t="s">
        <v>10</v>
      </c>
      <c r="E517" t="s">
        <v>24</v>
      </c>
      <c r="F517">
        <v>-2038761</v>
      </c>
      <c r="G517" s="3" t="s">
        <v>14</v>
      </c>
      <c r="H517" t="str">
        <f>_xlfn.XLOOKUP(TRIM(D517),對應!D:D,對應!E:E,"未對應")</f>
        <v>3通路方案</v>
      </c>
    </row>
    <row r="518" spans="1:8" x14ac:dyDescent="0.4">
      <c r="A518" t="s">
        <v>31</v>
      </c>
      <c r="B518">
        <v>2025</v>
      </c>
      <c r="C518">
        <v>3</v>
      </c>
      <c r="D518" t="s">
        <v>10</v>
      </c>
      <c r="E518" t="s">
        <v>25</v>
      </c>
      <c r="F518">
        <v>-5146</v>
      </c>
      <c r="G518" s="3" t="s">
        <v>14</v>
      </c>
      <c r="H518" t="str">
        <f>_xlfn.XLOOKUP(TRIM(D518),對應!D:D,對應!E:E,"未對應")</f>
        <v>3通路方案</v>
      </c>
    </row>
    <row r="519" spans="1:8" x14ac:dyDescent="0.4">
      <c r="A519" t="s">
        <v>31</v>
      </c>
      <c r="B519">
        <v>2025</v>
      </c>
      <c r="C519">
        <v>3</v>
      </c>
      <c r="D519" t="s">
        <v>17</v>
      </c>
      <c r="E519" t="s">
        <v>18</v>
      </c>
      <c r="F519">
        <v>-39122</v>
      </c>
      <c r="G519" s="3" t="s">
        <v>19</v>
      </c>
      <c r="H519" t="str">
        <f>_xlfn.XLOOKUP(TRIM(D519),對應!D:D,對應!E:E,"未對應")</f>
        <v>4筆電+盈嘉</v>
      </c>
    </row>
    <row r="520" spans="1:8" x14ac:dyDescent="0.4">
      <c r="A520" t="s">
        <v>31</v>
      </c>
      <c r="B520">
        <v>2025</v>
      </c>
      <c r="C520">
        <v>3</v>
      </c>
      <c r="D520" t="s">
        <v>10</v>
      </c>
      <c r="E520" t="s">
        <v>27</v>
      </c>
      <c r="F520">
        <v>-24488</v>
      </c>
      <c r="G520" s="3" t="s">
        <v>28</v>
      </c>
      <c r="H520" t="str">
        <f>_xlfn.XLOOKUP(TRIM(D520),對應!D:D,對應!E:E,"未對應")</f>
        <v>3通路方案</v>
      </c>
    </row>
    <row r="521" spans="1:8" x14ac:dyDescent="0.4">
      <c r="A521" t="s">
        <v>31</v>
      </c>
      <c r="B521">
        <v>2025</v>
      </c>
      <c r="C521">
        <v>4</v>
      </c>
      <c r="D521" t="s">
        <v>10</v>
      </c>
      <c r="E521" t="s">
        <v>16</v>
      </c>
      <c r="F521">
        <v>-1865360</v>
      </c>
      <c r="G521" s="3" t="s">
        <v>16</v>
      </c>
      <c r="H521" t="str">
        <f>_xlfn.XLOOKUP(TRIM(D521),對應!D:D,對應!E:E,"未對應")</f>
        <v>3通路方案</v>
      </c>
    </row>
    <row r="522" spans="1:8" x14ac:dyDescent="0.4">
      <c r="A522" t="s">
        <v>31</v>
      </c>
      <c r="B522">
        <v>2025</v>
      </c>
      <c r="C522">
        <v>4</v>
      </c>
      <c r="D522" t="s">
        <v>32</v>
      </c>
      <c r="E522" t="s">
        <v>16</v>
      </c>
      <c r="F522">
        <v>-2323089</v>
      </c>
      <c r="G522" s="3" t="s">
        <v>32</v>
      </c>
      <c r="H522" t="str">
        <f>_xlfn.XLOOKUP(TRIM(D522),對應!D:D,對應!E:E,"未對應")</f>
        <v>5百事益</v>
      </c>
    </row>
    <row r="523" spans="1:8" x14ac:dyDescent="0.4">
      <c r="A523" t="s">
        <v>31</v>
      </c>
      <c r="B523">
        <v>2025</v>
      </c>
      <c r="C523">
        <v>4</v>
      </c>
      <c r="D523" t="s">
        <v>10</v>
      </c>
      <c r="E523" t="s">
        <v>25</v>
      </c>
      <c r="F523">
        <v>-7300</v>
      </c>
      <c r="G523" s="3" t="s">
        <v>14</v>
      </c>
      <c r="H523" t="str">
        <f>_xlfn.XLOOKUP(TRIM(D523),對應!D:D,對應!E:E,"未對應")</f>
        <v>3通路方案</v>
      </c>
    </row>
    <row r="524" spans="1:8" x14ac:dyDescent="0.4">
      <c r="A524" t="s">
        <v>31</v>
      </c>
      <c r="B524">
        <v>2025</v>
      </c>
      <c r="C524">
        <v>4</v>
      </c>
      <c r="D524" t="s">
        <v>10</v>
      </c>
      <c r="E524" t="s">
        <v>21</v>
      </c>
      <c r="F524">
        <v>-13114868</v>
      </c>
      <c r="G524" s="3" t="s">
        <v>22</v>
      </c>
      <c r="H524" t="str">
        <f>_xlfn.XLOOKUP(TRIM(D524),對應!D:D,對應!E:E,"未對應")</f>
        <v>3通路方案</v>
      </c>
    </row>
    <row r="525" spans="1:8" x14ac:dyDescent="0.4">
      <c r="A525" t="s">
        <v>31</v>
      </c>
      <c r="B525">
        <v>2025</v>
      </c>
      <c r="C525">
        <v>4</v>
      </c>
      <c r="D525" t="s">
        <v>32</v>
      </c>
      <c r="E525" t="s">
        <v>16</v>
      </c>
      <c r="F525">
        <v>-68582</v>
      </c>
      <c r="G525" s="3" t="s">
        <v>32</v>
      </c>
      <c r="H525" t="str">
        <f>_xlfn.XLOOKUP(TRIM(D525),對應!D:D,對應!E:E,"未對應")</f>
        <v>5百事益</v>
      </c>
    </row>
    <row r="526" spans="1:8" x14ac:dyDescent="0.4">
      <c r="A526" t="s">
        <v>31</v>
      </c>
      <c r="B526">
        <v>2025</v>
      </c>
      <c r="C526">
        <v>5</v>
      </c>
      <c r="D526" t="s">
        <v>8</v>
      </c>
      <c r="E526" t="s">
        <v>33</v>
      </c>
      <c r="F526">
        <v>-8049316</v>
      </c>
      <c r="G526" s="3" t="s">
        <v>9</v>
      </c>
      <c r="H526" t="str">
        <f>_xlfn.XLOOKUP(TRIM(D526),對應!D:D,對應!E:E,"未對應")</f>
        <v>1網通+技鋼</v>
      </c>
    </row>
    <row r="527" spans="1:8" x14ac:dyDescent="0.4">
      <c r="A527" t="s">
        <v>31</v>
      </c>
      <c r="B527">
        <v>2025</v>
      </c>
      <c r="C527">
        <v>5</v>
      </c>
      <c r="D527" t="s">
        <v>10</v>
      </c>
      <c r="E527" t="s">
        <v>30</v>
      </c>
      <c r="F527">
        <v>-47078</v>
      </c>
      <c r="G527" s="3" t="s">
        <v>12</v>
      </c>
      <c r="H527" t="str">
        <f>_xlfn.XLOOKUP(TRIM(D527),對應!D:D,對應!E:E,"未對應")</f>
        <v>3通路方案</v>
      </c>
    </row>
    <row r="528" spans="1:8" x14ac:dyDescent="0.4">
      <c r="A528" t="s">
        <v>31</v>
      </c>
      <c r="B528">
        <v>2025</v>
      </c>
      <c r="C528">
        <v>5</v>
      </c>
      <c r="D528" t="s">
        <v>32</v>
      </c>
      <c r="E528" t="s">
        <v>16</v>
      </c>
      <c r="F528">
        <v>-14447334</v>
      </c>
      <c r="G528" s="3" t="s">
        <v>32</v>
      </c>
      <c r="H528" t="str">
        <f>_xlfn.XLOOKUP(TRIM(D528),對應!D:D,對應!E:E,"未對應")</f>
        <v>5百事益</v>
      </c>
    </row>
    <row r="529" spans="1:8" x14ac:dyDescent="0.4">
      <c r="A529" t="s">
        <v>31</v>
      </c>
      <c r="B529">
        <v>2025</v>
      </c>
      <c r="C529">
        <v>6</v>
      </c>
      <c r="D529" t="s">
        <v>10</v>
      </c>
      <c r="E529" t="s">
        <v>25</v>
      </c>
      <c r="F529">
        <v>-9262</v>
      </c>
      <c r="G529" s="3" t="s">
        <v>14</v>
      </c>
      <c r="H529" t="str">
        <f>_xlfn.XLOOKUP(TRIM(D529),對應!D:D,對應!E:E,"未對應")</f>
        <v>3通路方案</v>
      </c>
    </row>
    <row r="530" spans="1:8" x14ac:dyDescent="0.4">
      <c r="A530" t="s">
        <v>31</v>
      </c>
      <c r="B530">
        <v>2025</v>
      </c>
      <c r="C530">
        <v>6</v>
      </c>
      <c r="D530" t="s">
        <v>10</v>
      </c>
      <c r="E530" t="s">
        <v>26</v>
      </c>
      <c r="F530">
        <v>-63392</v>
      </c>
      <c r="G530" s="3" t="s">
        <v>14</v>
      </c>
      <c r="H530" t="str">
        <f>_xlfn.XLOOKUP(TRIM(D530),對應!D:D,對應!E:E,"未對應")</f>
        <v>3通路方案</v>
      </c>
    </row>
    <row r="531" spans="1:8" x14ac:dyDescent="0.4">
      <c r="A531" t="s">
        <v>31</v>
      </c>
      <c r="B531">
        <v>2025</v>
      </c>
      <c r="C531">
        <v>10</v>
      </c>
      <c r="D531" t="s">
        <v>10</v>
      </c>
      <c r="E531" t="s">
        <v>16</v>
      </c>
      <c r="F531">
        <v>-1320289</v>
      </c>
      <c r="G531" s="3" t="s">
        <v>16</v>
      </c>
      <c r="H531" t="str">
        <f>_xlfn.XLOOKUP(TRIM(D531),對應!D:D,對應!E:E,"未對應")</f>
        <v>3通路方案</v>
      </c>
    </row>
    <row r="532" spans="1:8" x14ac:dyDescent="0.4">
      <c r="A532" t="s">
        <v>31</v>
      </c>
      <c r="B532">
        <v>2025</v>
      </c>
      <c r="C532">
        <v>10</v>
      </c>
      <c r="D532" t="s">
        <v>10</v>
      </c>
      <c r="E532" t="s">
        <v>16</v>
      </c>
      <c r="F532">
        <v>-4179316</v>
      </c>
      <c r="G532" s="3" t="s">
        <v>16</v>
      </c>
      <c r="H532" t="str">
        <f>_xlfn.XLOOKUP(TRIM(D532),對應!D:D,對應!E:E,"未對應")</f>
        <v>3通路方案</v>
      </c>
    </row>
    <row r="533" spans="1:8" x14ac:dyDescent="0.4">
      <c r="A533" t="s">
        <v>31</v>
      </c>
      <c r="B533">
        <v>2025</v>
      </c>
      <c r="C533">
        <v>10</v>
      </c>
      <c r="D533" t="s">
        <v>32</v>
      </c>
      <c r="E533" t="s">
        <v>16</v>
      </c>
      <c r="F533">
        <v>-2926175</v>
      </c>
      <c r="G533" s="3" t="s">
        <v>32</v>
      </c>
      <c r="H533" t="str">
        <f>_xlfn.XLOOKUP(TRIM(D533),對應!D:D,對應!E:E,"未對應")</f>
        <v>5百事益</v>
      </c>
    </row>
    <row r="534" spans="1:8" x14ac:dyDescent="0.4">
      <c r="A534" t="s">
        <v>36</v>
      </c>
      <c r="B534">
        <v>2025</v>
      </c>
      <c r="C534">
        <v>2</v>
      </c>
      <c r="D534" t="s">
        <v>37</v>
      </c>
      <c r="E534" t="s">
        <v>16</v>
      </c>
      <c r="F534">
        <v>50626596</v>
      </c>
      <c r="G534" s="3" t="s">
        <v>37</v>
      </c>
      <c r="H534" t="str">
        <f>_xlfn.XLOOKUP(TRIM(D534),對應!D:D,對應!E:E,"未對應")</f>
        <v>6雲城</v>
      </c>
    </row>
    <row r="535" spans="1:8" x14ac:dyDescent="0.4">
      <c r="A535" t="s">
        <v>36</v>
      </c>
      <c r="B535">
        <v>2025</v>
      </c>
      <c r="C535">
        <v>3</v>
      </c>
      <c r="D535" t="s">
        <v>32</v>
      </c>
      <c r="E535" t="s">
        <v>16</v>
      </c>
      <c r="F535">
        <v>93188406</v>
      </c>
      <c r="G535" s="3" t="s">
        <v>32</v>
      </c>
      <c r="H535" t="str">
        <f>_xlfn.XLOOKUP(TRIM(D535),對應!D:D,對應!E:E,"未對應")</f>
        <v>5百事益</v>
      </c>
    </row>
    <row r="536" spans="1:8" x14ac:dyDescent="0.4">
      <c r="A536" t="s">
        <v>36</v>
      </c>
      <c r="B536">
        <v>2025</v>
      </c>
      <c r="C536">
        <v>3</v>
      </c>
      <c r="D536" t="s">
        <v>17</v>
      </c>
      <c r="E536" t="s">
        <v>18</v>
      </c>
      <c r="F536">
        <v>129041935</v>
      </c>
      <c r="G536" s="3" t="s">
        <v>19</v>
      </c>
      <c r="H536" t="str">
        <f>_xlfn.XLOOKUP(TRIM(D536),對應!D:D,對應!E:E,"未對應")</f>
        <v>4筆電+盈嘉</v>
      </c>
    </row>
    <row r="537" spans="1:8" x14ac:dyDescent="0.4">
      <c r="A537" t="s">
        <v>36</v>
      </c>
      <c r="B537">
        <v>2025</v>
      </c>
      <c r="C537">
        <v>3</v>
      </c>
      <c r="D537" t="s">
        <v>15</v>
      </c>
      <c r="E537" t="s">
        <v>16</v>
      </c>
      <c r="F537">
        <v>3420414</v>
      </c>
      <c r="G537" s="3" t="s">
        <v>16</v>
      </c>
      <c r="H537" t="str">
        <f>_xlfn.XLOOKUP(TRIM(D537),對應!D:D,對應!E:E,"未對應")</f>
        <v>7製造</v>
      </c>
    </row>
    <row r="538" spans="1:8" x14ac:dyDescent="0.4">
      <c r="A538" t="s">
        <v>36</v>
      </c>
      <c r="B538">
        <v>2025</v>
      </c>
      <c r="C538">
        <v>5</v>
      </c>
      <c r="D538" t="s">
        <v>37</v>
      </c>
      <c r="E538" t="s">
        <v>16</v>
      </c>
      <c r="F538">
        <v>33085901</v>
      </c>
      <c r="G538" s="3" t="s">
        <v>37</v>
      </c>
      <c r="H538" t="str">
        <f>_xlfn.XLOOKUP(TRIM(D538),對應!D:D,對應!E:E,"未對應")</f>
        <v>6雲城</v>
      </c>
    </row>
    <row r="539" spans="1:8" x14ac:dyDescent="0.4">
      <c r="A539" t="s">
        <v>36</v>
      </c>
      <c r="B539">
        <v>2025</v>
      </c>
      <c r="C539">
        <v>6</v>
      </c>
      <c r="D539" t="s">
        <v>32</v>
      </c>
      <c r="E539" t="s">
        <v>16</v>
      </c>
      <c r="F539">
        <v>83119827</v>
      </c>
      <c r="G539" s="3" t="s">
        <v>32</v>
      </c>
      <c r="H539" t="str">
        <f>_xlfn.XLOOKUP(TRIM(D539),對應!D:D,對應!E:E,"未對應")</f>
        <v>5百事益</v>
      </c>
    </row>
    <row r="540" spans="1:8" x14ac:dyDescent="0.4">
      <c r="A540" t="s">
        <v>36</v>
      </c>
      <c r="B540">
        <v>2025</v>
      </c>
      <c r="C540">
        <v>6</v>
      </c>
      <c r="D540" t="s">
        <v>17</v>
      </c>
      <c r="E540" t="s">
        <v>18</v>
      </c>
      <c r="F540">
        <v>1143777714</v>
      </c>
      <c r="G540" s="3" t="s">
        <v>19</v>
      </c>
      <c r="H540" t="str">
        <f>_xlfn.XLOOKUP(TRIM(D540),對應!D:D,對應!E:E,"未對應")</f>
        <v>4筆電+盈嘉</v>
      </c>
    </row>
    <row r="541" spans="1:8" x14ac:dyDescent="0.4">
      <c r="A541" t="s">
        <v>36</v>
      </c>
      <c r="B541">
        <v>2025</v>
      </c>
      <c r="C541">
        <v>6</v>
      </c>
      <c r="D541" t="s">
        <v>15</v>
      </c>
      <c r="E541" t="s">
        <v>16</v>
      </c>
      <c r="F541">
        <v>7270953</v>
      </c>
      <c r="G541" s="3" t="s">
        <v>16</v>
      </c>
      <c r="H541" t="str">
        <f>_xlfn.XLOOKUP(TRIM(D541),對應!D:D,對應!E:E,"未對應")</f>
        <v>7製造</v>
      </c>
    </row>
    <row r="542" spans="1:8" x14ac:dyDescent="0.4">
      <c r="A542" t="s">
        <v>41</v>
      </c>
      <c r="B542">
        <v>2025</v>
      </c>
      <c r="C542">
        <v>1</v>
      </c>
      <c r="D542" t="s">
        <v>8</v>
      </c>
      <c r="E542" t="s">
        <v>33</v>
      </c>
      <c r="F542">
        <v>-186220714</v>
      </c>
      <c r="G542" s="3" t="s">
        <v>9</v>
      </c>
      <c r="H542" t="str">
        <f>_xlfn.XLOOKUP(TRIM(D542),對應!D:D,對應!E:E,"未對應")</f>
        <v>1網通+技鋼</v>
      </c>
    </row>
    <row r="543" spans="1:8" x14ac:dyDescent="0.4">
      <c r="A543" t="s">
        <v>44</v>
      </c>
      <c r="B543">
        <v>2025</v>
      </c>
      <c r="C543">
        <v>3</v>
      </c>
      <c r="D543" t="s">
        <v>32</v>
      </c>
      <c r="F543">
        <v>15477440</v>
      </c>
      <c r="G543" s="3" t="s">
        <v>32</v>
      </c>
      <c r="H543" t="str">
        <f>_xlfn.XLOOKUP(TRIM(D543),對應!D:D,對應!E:E,"未對應")</f>
        <v>5百事益</v>
      </c>
    </row>
    <row r="544" spans="1:8" x14ac:dyDescent="0.4">
      <c r="A544" t="s">
        <v>31</v>
      </c>
      <c r="B544">
        <v>2025</v>
      </c>
      <c r="C544">
        <v>1</v>
      </c>
      <c r="D544" t="s">
        <v>32</v>
      </c>
      <c r="E544" t="s">
        <v>16</v>
      </c>
      <c r="F544">
        <v>-8387051</v>
      </c>
      <c r="G544" s="3" t="s">
        <v>32</v>
      </c>
      <c r="H544" t="str">
        <f>_xlfn.XLOOKUP(TRIM(D544),對應!D:D,對應!E:E,"未對應")</f>
        <v>5百事益</v>
      </c>
    </row>
    <row r="545" spans="1:8" x14ac:dyDescent="0.4">
      <c r="A545" t="s">
        <v>31</v>
      </c>
      <c r="B545">
        <v>2025</v>
      </c>
      <c r="C545">
        <v>1</v>
      </c>
      <c r="D545" t="s">
        <v>32</v>
      </c>
      <c r="E545" t="s">
        <v>16</v>
      </c>
      <c r="F545">
        <v>-64370</v>
      </c>
      <c r="G545" s="3" t="s">
        <v>32</v>
      </c>
      <c r="H545" t="str">
        <f>_xlfn.XLOOKUP(TRIM(D545),對應!D:D,對應!E:E,"未對應")</f>
        <v>5百事益</v>
      </c>
    </row>
    <row r="546" spans="1:8" x14ac:dyDescent="0.4">
      <c r="A546" t="s">
        <v>31</v>
      </c>
      <c r="B546">
        <v>2025</v>
      </c>
      <c r="C546">
        <v>1</v>
      </c>
      <c r="D546" t="s">
        <v>8</v>
      </c>
      <c r="E546" t="s">
        <v>33</v>
      </c>
      <c r="F546">
        <v>-7208781</v>
      </c>
      <c r="G546" s="3" t="s">
        <v>9</v>
      </c>
      <c r="H546" t="str">
        <f>_xlfn.XLOOKUP(TRIM(D546),對應!D:D,對應!E:E,"未對應")</f>
        <v>1網通+技鋼</v>
      </c>
    </row>
    <row r="547" spans="1:8" x14ac:dyDescent="0.4">
      <c r="A547" t="s">
        <v>31</v>
      </c>
      <c r="B547">
        <v>2025</v>
      </c>
      <c r="C547">
        <v>1</v>
      </c>
      <c r="D547" t="s">
        <v>32</v>
      </c>
      <c r="E547" t="s">
        <v>16</v>
      </c>
      <c r="F547">
        <v>-19046634</v>
      </c>
      <c r="G547" s="3" t="s">
        <v>32</v>
      </c>
      <c r="H547" t="str">
        <f>_xlfn.XLOOKUP(TRIM(D547),對應!D:D,對應!E:E,"未對應")</f>
        <v>5百事益</v>
      </c>
    </row>
    <row r="548" spans="1:8" x14ac:dyDescent="0.4">
      <c r="A548" t="s">
        <v>31</v>
      </c>
      <c r="B548">
        <v>2025</v>
      </c>
      <c r="C548">
        <v>2</v>
      </c>
      <c r="D548" t="s">
        <v>32</v>
      </c>
      <c r="E548" t="s">
        <v>16</v>
      </c>
      <c r="F548">
        <v>-4787790</v>
      </c>
      <c r="G548" s="3" t="s">
        <v>32</v>
      </c>
      <c r="H548" t="str">
        <f>_xlfn.XLOOKUP(TRIM(D548),對應!D:D,對應!E:E,"未對應")</f>
        <v>5百事益</v>
      </c>
    </row>
    <row r="549" spans="1:8" x14ac:dyDescent="0.4">
      <c r="A549" t="s">
        <v>31</v>
      </c>
      <c r="B549">
        <v>2025</v>
      </c>
      <c r="C549">
        <v>2</v>
      </c>
      <c r="D549" t="s">
        <v>32</v>
      </c>
      <c r="E549" t="s">
        <v>16</v>
      </c>
      <c r="F549">
        <v>-80047</v>
      </c>
      <c r="G549" s="3" t="s">
        <v>32</v>
      </c>
      <c r="H549" t="str">
        <f>_xlfn.XLOOKUP(TRIM(D549),對應!D:D,對應!E:E,"未對應")</f>
        <v>5百事益</v>
      </c>
    </row>
    <row r="550" spans="1:8" x14ac:dyDescent="0.4">
      <c r="A550" t="s">
        <v>31</v>
      </c>
      <c r="B550">
        <v>2025</v>
      </c>
      <c r="C550">
        <v>3</v>
      </c>
      <c r="D550" t="s">
        <v>10</v>
      </c>
      <c r="E550" t="s">
        <v>16</v>
      </c>
      <c r="F550">
        <v>-411918</v>
      </c>
      <c r="G550" s="3" t="s">
        <v>16</v>
      </c>
      <c r="H550" t="str">
        <f>_xlfn.XLOOKUP(TRIM(D550),對應!D:D,對應!E:E,"未對應")</f>
        <v>3通路方案</v>
      </c>
    </row>
    <row r="551" spans="1:8" x14ac:dyDescent="0.4">
      <c r="A551" t="s">
        <v>31</v>
      </c>
      <c r="B551">
        <v>2025</v>
      </c>
      <c r="C551">
        <v>3</v>
      </c>
      <c r="D551" t="s">
        <v>32</v>
      </c>
      <c r="E551" t="s">
        <v>16</v>
      </c>
      <c r="F551">
        <v>-33182</v>
      </c>
      <c r="G551" s="3" t="s">
        <v>32</v>
      </c>
      <c r="H551" t="str">
        <f>_xlfn.XLOOKUP(TRIM(D551),對應!D:D,對應!E:E,"未對應")</f>
        <v>5百事益</v>
      </c>
    </row>
    <row r="552" spans="1:8" x14ac:dyDescent="0.4">
      <c r="A552" t="s">
        <v>31</v>
      </c>
      <c r="B552">
        <v>2025</v>
      </c>
      <c r="C552">
        <v>4</v>
      </c>
      <c r="D552" t="s">
        <v>8</v>
      </c>
      <c r="E552" t="s">
        <v>33</v>
      </c>
      <c r="F552">
        <v>-6363925</v>
      </c>
      <c r="G552" s="3" t="s">
        <v>9</v>
      </c>
      <c r="H552" t="str">
        <f>_xlfn.XLOOKUP(TRIM(D552),對應!D:D,對應!E:E,"未對應")</f>
        <v>1網通+技鋼</v>
      </c>
    </row>
    <row r="553" spans="1:8" x14ac:dyDescent="0.4">
      <c r="A553" t="s">
        <v>31</v>
      </c>
      <c r="B553">
        <v>2025</v>
      </c>
      <c r="C553">
        <v>4</v>
      </c>
      <c r="D553" t="s">
        <v>17</v>
      </c>
      <c r="E553" t="s">
        <v>18</v>
      </c>
      <c r="F553">
        <v>-3638316</v>
      </c>
      <c r="G553" s="3" t="s">
        <v>19</v>
      </c>
      <c r="H553" t="str">
        <f>_xlfn.XLOOKUP(TRIM(D553),對應!D:D,對應!E:E,"未對應")</f>
        <v>4筆電+盈嘉</v>
      </c>
    </row>
    <row r="554" spans="1:8" x14ac:dyDescent="0.4">
      <c r="A554" t="s">
        <v>31</v>
      </c>
      <c r="B554">
        <v>2025</v>
      </c>
      <c r="C554">
        <v>4</v>
      </c>
      <c r="D554" t="s">
        <v>32</v>
      </c>
      <c r="E554" t="s">
        <v>16</v>
      </c>
      <c r="F554">
        <v>-14318511</v>
      </c>
      <c r="G554" s="3" t="s">
        <v>32</v>
      </c>
      <c r="H554" t="str">
        <f>_xlfn.XLOOKUP(TRIM(D554),對應!D:D,對應!E:E,"未對應")</f>
        <v>5百事益</v>
      </c>
    </row>
    <row r="555" spans="1:8" x14ac:dyDescent="0.4">
      <c r="A555" t="s">
        <v>31</v>
      </c>
      <c r="B555">
        <v>2025</v>
      </c>
      <c r="C555">
        <v>5</v>
      </c>
      <c r="D555" t="s">
        <v>32</v>
      </c>
      <c r="E555" t="s">
        <v>16</v>
      </c>
      <c r="F555">
        <v>-1890303</v>
      </c>
      <c r="G555" s="3" t="s">
        <v>32</v>
      </c>
      <c r="H555" t="str">
        <f>_xlfn.XLOOKUP(TRIM(D555),對應!D:D,對應!E:E,"未對應")</f>
        <v>5百事益</v>
      </c>
    </row>
    <row r="556" spans="1:8" x14ac:dyDescent="0.4">
      <c r="A556" t="s">
        <v>41</v>
      </c>
      <c r="B556">
        <v>2025</v>
      </c>
      <c r="C556">
        <v>1</v>
      </c>
      <c r="D556" t="s">
        <v>32</v>
      </c>
      <c r="E556" t="s">
        <v>16</v>
      </c>
      <c r="F556">
        <v>-13121935</v>
      </c>
      <c r="G556" s="3" t="s">
        <v>32</v>
      </c>
      <c r="H556" t="str">
        <f>_xlfn.XLOOKUP(TRIM(D556),對應!D:D,對應!E:E,"未對應")</f>
        <v>5百事益</v>
      </c>
    </row>
    <row r="557" spans="1:8" x14ac:dyDescent="0.4">
      <c r="A557" t="s">
        <v>41</v>
      </c>
      <c r="B557">
        <v>2025</v>
      </c>
      <c r="C557">
        <v>1</v>
      </c>
      <c r="D557" t="s">
        <v>8</v>
      </c>
      <c r="E557" t="s">
        <v>33</v>
      </c>
      <c r="F557">
        <v>-13059538</v>
      </c>
      <c r="G557" s="3" t="s">
        <v>9</v>
      </c>
      <c r="H557" t="str">
        <f>_xlfn.XLOOKUP(TRIM(D557),對應!D:D,對應!E:E,"未對應")</f>
        <v>1網通+技鋼</v>
      </c>
    </row>
    <row r="558" spans="1:8" x14ac:dyDescent="0.4">
      <c r="A558" t="s">
        <v>41</v>
      </c>
      <c r="B558">
        <v>2025</v>
      </c>
      <c r="C558">
        <v>3</v>
      </c>
      <c r="D558" t="s">
        <v>32</v>
      </c>
      <c r="E558" t="s">
        <v>16</v>
      </c>
      <c r="F558">
        <v>-50277547</v>
      </c>
      <c r="G558" s="3" t="s">
        <v>32</v>
      </c>
      <c r="H558" t="str">
        <f>_xlfn.XLOOKUP(TRIM(D558),對應!D:D,對應!E:E,"未對應")</f>
        <v>5百事益</v>
      </c>
    </row>
    <row r="559" spans="1:8" x14ac:dyDescent="0.4">
      <c r="A559" t="s">
        <v>41</v>
      </c>
      <c r="B559">
        <v>2025</v>
      </c>
      <c r="C559">
        <v>3</v>
      </c>
      <c r="D559" t="s">
        <v>32</v>
      </c>
      <c r="E559" t="s">
        <v>16</v>
      </c>
      <c r="F559">
        <v>-19340</v>
      </c>
      <c r="G559" s="3" t="s">
        <v>32</v>
      </c>
      <c r="H559" t="str">
        <f>_xlfn.XLOOKUP(TRIM(D559),對應!D:D,對應!E:E,"未對應")</f>
        <v>5百事益</v>
      </c>
    </row>
    <row r="560" spans="1:8" x14ac:dyDescent="0.4">
      <c r="A560" t="s">
        <v>41</v>
      </c>
      <c r="B560">
        <v>2025</v>
      </c>
      <c r="C560">
        <v>3</v>
      </c>
      <c r="D560" t="s">
        <v>39</v>
      </c>
      <c r="E560" t="s">
        <v>40</v>
      </c>
      <c r="F560">
        <v>-11220</v>
      </c>
      <c r="G560" s="3" t="s">
        <v>42</v>
      </c>
      <c r="H560" t="str">
        <f>_xlfn.XLOOKUP(TRIM(D560),對應!D:D,對應!E:E,"未對應")</f>
        <v>2技宸</v>
      </c>
    </row>
    <row r="561" spans="1:8" x14ac:dyDescent="0.4">
      <c r="A561" t="s">
        <v>36</v>
      </c>
      <c r="B561">
        <v>2025</v>
      </c>
      <c r="C561">
        <v>1</v>
      </c>
      <c r="D561" t="s">
        <v>37</v>
      </c>
      <c r="E561" t="s">
        <v>16</v>
      </c>
      <c r="F561">
        <v>68910160</v>
      </c>
      <c r="G561" s="3" t="s">
        <v>37</v>
      </c>
      <c r="H561" t="str">
        <f>_xlfn.XLOOKUP(TRIM(D561),對應!D:D,對應!E:E,"未對應")</f>
        <v>6雲城</v>
      </c>
    </row>
    <row r="562" spans="1:8" x14ac:dyDescent="0.4">
      <c r="A562" t="s">
        <v>36</v>
      </c>
      <c r="B562">
        <v>2025</v>
      </c>
      <c r="C562">
        <v>2</v>
      </c>
      <c r="D562" t="s">
        <v>17</v>
      </c>
      <c r="E562" t="s">
        <v>18</v>
      </c>
      <c r="F562">
        <v>10461004</v>
      </c>
      <c r="G562" s="3" t="s">
        <v>19</v>
      </c>
      <c r="H562" t="str">
        <f>_xlfn.XLOOKUP(TRIM(D562),對應!D:D,對應!E:E,"未對應")</f>
        <v>4筆電+盈嘉</v>
      </c>
    </row>
    <row r="563" spans="1:8" x14ac:dyDescent="0.4">
      <c r="A563" t="s">
        <v>36</v>
      </c>
      <c r="B563">
        <v>2025</v>
      </c>
      <c r="C563">
        <v>2</v>
      </c>
      <c r="D563" t="s">
        <v>15</v>
      </c>
      <c r="E563" t="s">
        <v>16</v>
      </c>
      <c r="F563">
        <v>1815623</v>
      </c>
      <c r="G563" s="3" t="s">
        <v>16</v>
      </c>
      <c r="H563" t="str">
        <f>_xlfn.XLOOKUP(TRIM(D563),對應!D:D,對應!E:E,"未對應")</f>
        <v>7製造</v>
      </c>
    </row>
    <row r="564" spans="1:8" x14ac:dyDescent="0.4">
      <c r="A564" t="s">
        <v>36</v>
      </c>
      <c r="B564">
        <v>2025</v>
      </c>
      <c r="C564">
        <v>4</v>
      </c>
      <c r="D564" t="s">
        <v>37</v>
      </c>
      <c r="E564" t="s">
        <v>16</v>
      </c>
      <c r="F564">
        <v>35432665</v>
      </c>
      <c r="G564" s="3" t="s">
        <v>37</v>
      </c>
      <c r="H564" t="str">
        <f>_xlfn.XLOOKUP(TRIM(D564),對應!D:D,對應!E:E,"未對應")</f>
        <v>6雲城</v>
      </c>
    </row>
    <row r="565" spans="1:8" x14ac:dyDescent="0.4">
      <c r="A565" t="s">
        <v>36</v>
      </c>
      <c r="B565">
        <v>2025</v>
      </c>
      <c r="C565">
        <v>5</v>
      </c>
      <c r="D565" t="s">
        <v>17</v>
      </c>
      <c r="E565" t="s">
        <v>18</v>
      </c>
      <c r="F565">
        <v>21728961</v>
      </c>
      <c r="G565" s="3" t="s">
        <v>19</v>
      </c>
      <c r="H565" t="str">
        <f>_xlfn.XLOOKUP(TRIM(D565),對應!D:D,對應!E:E,"未對應")</f>
        <v>4筆電+盈嘉</v>
      </c>
    </row>
    <row r="566" spans="1:8" x14ac:dyDescent="0.4">
      <c r="A566" t="s">
        <v>36</v>
      </c>
      <c r="B566">
        <v>2025</v>
      </c>
      <c r="C566">
        <v>5</v>
      </c>
      <c r="D566" t="s">
        <v>15</v>
      </c>
      <c r="E566" t="s">
        <v>16</v>
      </c>
      <c r="F566">
        <v>3666478</v>
      </c>
      <c r="G566" s="3" t="s">
        <v>16</v>
      </c>
      <c r="H566" t="str">
        <f>_xlfn.XLOOKUP(TRIM(D566),對應!D:D,對應!E:E,"未對應")</f>
        <v>7製造</v>
      </c>
    </row>
    <row r="567" spans="1:8" x14ac:dyDescent="0.4">
      <c r="A567" t="s">
        <v>41</v>
      </c>
      <c r="B567">
        <v>2025</v>
      </c>
      <c r="C567">
        <v>1</v>
      </c>
      <c r="D567" t="s">
        <v>8</v>
      </c>
      <c r="E567" t="s">
        <v>33</v>
      </c>
      <c r="F567">
        <v>-109887286</v>
      </c>
      <c r="G567" s="3" t="s">
        <v>9</v>
      </c>
      <c r="H567" t="str">
        <f>_xlfn.XLOOKUP(TRIM(D567),對應!D:D,對應!E:E,"未對應")</f>
        <v>1網通+技鋼</v>
      </c>
    </row>
    <row r="568" spans="1:8" x14ac:dyDescent="0.4">
      <c r="A568" t="s">
        <v>41</v>
      </c>
      <c r="B568">
        <v>2025</v>
      </c>
      <c r="C568">
        <v>2</v>
      </c>
      <c r="D568" t="s">
        <v>8</v>
      </c>
      <c r="E568" t="s">
        <v>33</v>
      </c>
      <c r="F568">
        <v>-88327</v>
      </c>
      <c r="G568" s="3" t="s">
        <v>9</v>
      </c>
      <c r="H568" t="str">
        <f>_xlfn.XLOOKUP(TRIM(D568),對應!D:D,對應!E:E,"未對應")</f>
        <v>1網通+技鋼</v>
      </c>
    </row>
    <row r="569" spans="1:8" x14ac:dyDescent="0.4">
      <c r="A569" t="s">
        <v>41</v>
      </c>
      <c r="B569">
        <v>2025</v>
      </c>
      <c r="C569">
        <v>3</v>
      </c>
      <c r="D569" t="s">
        <v>8</v>
      </c>
      <c r="E569" t="s">
        <v>33</v>
      </c>
      <c r="F569">
        <v>-80408254</v>
      </c>
      <c r="G569" s="3" t="s">
        <v>9</v>
      </c>
      <c r="H569" t="str">
        <f>_xlfn.XLOOKUP(TRIM(D569),對應!D:D,對應!E:E,"未對應")</f>
        <v>1網通+技鋼</v>
      </c>
    </row>
    <row r="570" spans="1:8" x14ac:dyDescent="0.4">
      <c r="A570" t="s">
        <v>41</v>
      </c>
      <c r="B570">
        <v>2025</v>
      </c>
      <c r="C570">
        <v>4</v>
      </c>
      <c r="D570" t="s">
        <v>39</v>
      </c>
      <c r="E570" t="s">
        <v>40</v>
      </c>
      <c r="F570">
        <v>-754138</v>
      </c>
      <c r="G570" s="3" t="s">
        <v>9</v>
      </c>
      <c r="H570" t="str">
        <f>_xlfn.XLOOKUP(TRIM(D570),對應!D:D,對應!E:E,"未對應")</f>
        <v>2技宸</v>
      </c>
    </row>
    <row r="571" spans="1:8" x14ac:dyDescent="0.4">
      <c r="A571" t="s">
        <v>41</v>
      </c>
      <c r="B571">
        <v>2025</v>
      </c>
      <c r="C571">
        <v>4</v>
      </c>
      <c r="D571" t="s">
        <v>8</v>
      </c>
      <c r="E571" t="s">
        <v>33</v>
      </c>
      <c r="F571">
        <v>-102255734</v>
      </c>
      <c r="G571" s="3" t="s">
        <v>9</v>
      </c>
      <c r="H571" t="str">
        <f>_xlfn.XLOOKUP(TRIM(D571),對應!D:D,對應!E:E,"未對應")</f>
        <v>1網通+技鋼</v>
      </c>
    </row>
    <row r="572" spans="1:8" x14ac:dyDescent="0.4">
      <c r="A572" t="s">
        <v>41</v>
      </c>
      <c r="B572">
        <v>2025</v>
      </c>
      <c r="C572">
        <v>5</v>
      </c>
      <c r="D572" t="s">
        <v>32</v>
      </c>
      <c r="E572" t="s">
        <v>16</v>
      </c>
      <c r="F572">
        <v>-145991</v>
      </c>
      <c r="G572" s="3" t="s">
        <v>32</v>
      </c>
      <c r="H572" t="str">
        <f>_xlfn.XLOOKUP(TRIM(D572),對應!D:D,對應!E:E,"未對應")</f>
        <v>5百事益</v>
      </c>
    </row>
    <row r="573" spans="1:8" x14ac:dyDescent="0.4">
      <c r="A573" t="s">
        <v>41</v>
      </c>
      <c r="B573">
        <v>2025</v>
      </c>
      <c r="C573">
        <v>5</v>
      </c>
      <c r="D573" t="s">
        <v>8</v>
      </c>
      <c r="E573" t="s">
        <v>33</v>
      </c>
      <c r="F573">
        <v>-349437</v>
      </c>
      <c r="G573" s="3" t="s">
        <v>9</v>
      </c>
      <c r="H573" t="str">
        <f>_xlfn.XLOOKUP(TRIM(D573),對應!D:D,對應!E:E,"未對應")</f>
        <v>1網通+技鋼</v>
      </c>
    </row>
    <row r="574" spans="1:8" x14ac:dyDescent="0.4">
      <c r="A574" t="s">
        <v>41</v>
      </c>
      <c r="B574">
        <v>2025</v>
      </c>
      <c r="C574">
        <v>6</v>
      </c>
      <c r="D574" t="s">
        <v>8</v>
      </c>
      <c r="E574" t="s">
        <v>33</v>
      </c>
      <c r="F574">
        <v>-573223891</v>
      </c>
      <c r="G574" s="3" t="s">
        <v>9</v>
      </c>
      <c r="H574" t="str">
        <f>_xlfn.XLOOKUP(TRIM(D574),對應!D:D,對應!E:E,"未對應")</f>
        <v>1網通+技鋼</v>
      </c>
    </row>
    <row r="575" spans="1:8" x14ac:dyDescent="0.4">
      <c r="A575" t="s">
        <v>41</v>
      </c>
      <c r="B575">
        <v>2025</v>
      </c>
      <c r="C575">
        <v>2</v>
      </c>
      <c r="D575" t="s">
        <v>32</v>
      </c>
      <c r="E575" t="s">
        <v>16</v>
      </c>
      <c r="F575">
        <v>-68315</v>
      </c>
      <c r="G575" s="3" t="s">
        <v>32</v>
      </c>
      <c r="H575" t="str">
        <f>_xlfn.XLOOKUP(TRIM(D575),對應!D:D,對應!E:E,"未對應")</f>
        <v>5百事益</v>
      </c>
    </row>
    <row r="576" spans="1:8" x14ac:dyDescent="0.4">
      <c r="A576" t="s">
        <v>41</v>
      </c>
      <c r="B576">
        <v>2025</v>
      </c>
      <c r="C576">
        <v>2</v>
      </c>
      <c r="D576" t="s">
        <v>8</v>
      </c>
      <c r="E576" t="s">
        <v>33</v>
      </c>
      <c r="F576">
        <v>-104543440</v>
      </c>
      <c r="G576" s="3" t="s">
        <v>9</v>
      </c>
      <c r="H576" t="str">
        <f>_xlfn.XLOOKUP(TRIM(D576),對應!D:D,對應!E:E,"未對應")</f>
        <v>1網通+技鋼</v>
      </c>
    </row>
    <row r="577" spans="1:8" x14ac:dyDescent="0.4">
      <c r="A577" t="s">
        <v>41</v>
      </c>
      <c r="B577">
        <v>2025</v>
      </c>
      <c r="C577">
        <v>2</v>
      </c>
      <c r="D577" t="s">
        <v>8</v>
      </c>
      <c r="E577" t="s">
        <v>33</v>
      </c>
      <c r="F577">
        <v>-541200</v>
      </c>
      <c r="G577" s="3" t="s">
        <v>9</v>
      </c>
      <c r="H577" t="str">
        <f>_xlfn.XLOOKUP(TRIM(D577),對應!D:D,對應!E:E,"未對應")</f>
        <v>1網通+技鋼</v>
      </c>
    </row>
    <row r="578" spans="1:8" x14ac:dyDescent="0.4">
      <c r="A578" t="s">
        <v>41</v>
      </c>
      <c r="B578">
        <v>2025</v>
      </c>
      <c r="C578">
        <v>4</v>
      </c>
      <c r="D578" t="s">
        <v>37</v>
      </c>
      <c r="E578" t="s">
        <v>16</v>
      </c>
      <c r="F578">
        <v>-52062</v>
      </c>
      <c r="G578" s="3" t="s">
        <v>37</v>
      </c>
      <c r="H578" t="str">
        <f>_xlfn.XLOOKUP(TRIM(D578),對應!D:D,對應!E:E,"未對應")</f>
        <v>6雲城</v>
      </c>
    </row>
    <row r="579" spans="1:8" x14ac:dyDescent="0.4">
      <c r="A579" t="s">
        <v>41</v>
      </c>
      <c r="B579">
        <v>2025</v>
      </c>
      <c r="C579">
        <v>5</v>
      </c>
      <c r="D579" t="s">
        <v>8</v>
      </c>
      <c r="E579" t="s">
        <v>33</v>
      </c>
      <c r="F579">
        <v>-96033812</v>
      </c>
      <c r="G579" s="3" t="s">
        <v>9</v>
      </c>
      <c r="H579" t="str">
        <f>_xlfn.XLOOKUP(TRIM(D579),對應!D:D,對應!E:E,"未對應")</f>
        <v>1網通+技鋼</v>
      </c>
    </row>
    <row r="580" spans="1:8" x14ac:dyDescent="0.4">
      <c r="A580" t="s">
        <v>41</v>
      </c>
      <c r="B580">
        <v>2025</v>
      </c>
      <c r="C580">
        <v>6</v>
      </c>
      <c r="D580" t="s">
        <v>37</v>
      </c>
      <c r="E580" t="s">
        <v>16</v>
      </c>
      <c r="F580">
        <v>-3905</v>
      </c>
      <c r="G580" s="3" t="s">
        <v>37</v>
      </c>
      <c r="H580" t="str">
        <f>_xlfn.XLOOKUP(TRIM(D580),對應!D:D,對應!E:E,"未對應")</f>
        <v>6雲城</v>
      </c>
    </row>
    <row r="581" spans="1:8" x14ac:dyDescent="0.4">
      <c r="A581" t="s">
        <v>43</v>
      </c>
      <c r="B581">
        <v>2025</v>
      </c>
      <c r="C581">
        <v>3</v>
      </c>
      <c r="D581" t="s">
        <v>10</v>
      </c>
      <c r="E581" t="s">
        <v>24</v>
      </c>
      <c r="F581">
        <v>418487066</v>
      </c>
      <c r="G581" s="3" t="s">
        <v>14</v>
      </c>
      <c r="H581" t="str">
        <f>_xlfn.XLOOKUP(TRIM(D581),對應!D:D,對應!E:E,"未對應")</f>
        <v>3通路方案</v>
      </c>
    </row>
    <row r="582" spans="1:8" x14ac:dyDescent="0.4">
      <c r="A582" t="s">
        <v>43</v>
      </c>
      <c r="B582">
        <v>2025</v>
      </c>
      <c r="C582">
        <v>3</v>
      </c>
      <c r="D582" t="s">
        <v>10</v>
      </c>
      <c r="E582" t="s">
        <v>21</v>
      </c>
      <c r="F582">
        <v>101599700</v>
      </c>
      <c r="G582" s="3" t="s">
        <v>22</v>
      </c>
      <c r="H582" t="str">
        <f>_xlfn.XLOOKUP(TRIM(D582),對應!D:D,對應!E:E,"未對應")</f>
        <v>3通路方案</v>
      </c>
    </row>
    <row r="583" spans="1:8" x14ac:dyDescent="0.4">
      <c r="A583" t="s">
        <v>43</v>
      </c>
      <c r="B583">
        <v>2025</v>
      </c>
      <c r="C583">
        <v>4</v>
      </c>
      <c r="D583" t="s">
        <v>32</v>
      </c>
      <c r="E583" t="s">
        <v>16</v>
      </c>
      <c r="F583">
        <v>9330985</v>
      </c>
      <c r="G583" s="3" t="s">
        <v>32</v>
      </c>
      <c r="H583" t="str">
        <f>_xlfn.XLOOKUP(TRIM(D583),對應!D:D,對應!E:E,"未對應")</f>
        <v>5百事益</v>
      </c>
    </row>
    <row r="584" spans="1:8" x14ac:dyDescent="0.4">
      <c r="A584" t="s">
        <v>43</v>
      </c>
      <c r="B584">
        <v>2025</v>
      </c>
      <c r="C584">
        <v>4</v>
      </c>
      <c r="D584" t="s">
        <v>8</v>
      </c>
      <c r="E584" t="s">
        <v>33</v>
      </c>
      <c r="F584">
        <v>6731641</v>
      </c>
      <c r="G584" s="3" t="s">
        <v>9</v>
      </c>
      <c r="H584" t="str">
        <f>_xlfn.XLOOKUP(TRIM(D584),對應!D:D,對應!E:E,"未對應")</f>
        <v>1網通+技鋼</v>
      </c>
    </row>
    <row r="585" spans="1:8" x14ac:dyDescent="0.4">
      <c r="A585" t="s">
        <v>43</v>
      </c>
      <c r="B585">
        <v>2025</v>
      </c>
      <c r="C585">
        <v>4</v>
      </c>
      <c r="D585" t="s">
        <v>10</v>
      </c>
      <c r="E585" t="s">
        <v>24</v>
      </c>
      <c r="F585">
        <v>16319017</v>
      </c>
      <c r="G585" s="3" t="s">
        <v>14</v>
      </c>
      <c r="H585" t="str">
        <f>_xlfn.XLOOKUP(TRIM(D585),對應!D:D,對應!E:E,"未對應")</f>
        <v>3通路方案</v>
      </c>
    </row>
    <row r="586" spans="1:8" x14ac:dyDescent="0.4">
      <c r="A586" t="s">
        <v>43</v>
      </c>
      <c r="B586">
        <v>2025</v>
      </c>
      <c r="C586">
        <v>4</v>
      </c>
      <c r="D586" t="s">
        <v>10</v>
      </c>
      <c r="E586" t="s">
        <v>13</v>
      </c>
      <c r="F586">
        <v>1473</v>
      </c>
      <c r="G586" s="3" t="s">
        <v>14</v>
      </c>
      <c r="H586" t="str">
        <f>_xlfn.XLOOKUP(TRIM(D586),對應!D:D,對應!E:E,"未對應")</f>
        <v>3通路方案</v>
      </c>
    </row>
    <row r="587" spans="1:8" x14ac:dyDescent="0.4">
      <c r="A587" t="s">
        <v>43</v>
      </c>
      <c r="B587">
        <v>2025</v>
      </c>
      <c r="C587">
        <v>5</v>
      </c>
      <c r="D587" t="s">
        <v>10</v>
      </c>
      <c r="E587" t="s">
        <v>27</v>
      </c>
      <c r="F587">
        <v>30757719</v>
      </c>
      <c r="G587" s="3" t="s">
        <v>28</v>
      </c>
      <c r="H587" t="str">
        <f>_xlfn.XLOOKUP(TRIM(D587),對應!D:D,對應!E:E,"未對應")</f>
        <v>3通路方案</v>
      </c>
    </row>
    <row r="588" spans="1:8" x14ac:dyDescent="0.4">
      <c r="A588" t="s">
        <v>43</v>
      </c>
      <c r="B588">
        <v>2025</v>
      </c>
      <c r="C588">
        <v>5</v>
      </c>
      <c r="D588" t="s">
        <v>10</v>
      </c>
      <c r="E588" t="s">
        <v>30</v>
      </c>
      <c r="F588">
        <v>2582638</v>
      </c>
      <c r="G588" s="3" t="s">
        <v>12</v>
      </c>
      <c r="H588" t="str">
        <f>_xlfn.XLOOKUP(TRIM(D588),對應!D:D,對應!E:E,"未對應")</f>
        <v>3通路方案</v>
      </c>
    </row>
    <row r="589" spans="1:8" x14ac:dyDescent="0.4">
      <c r="A589" t="s">
        <v>43</v>
      </c>
      <c r="B589">
        <v>2025</v>
      </c>
      <c r="C589">
        <v>6</v>
      </c>
      <c r="D589" t="s">
        <v>10</v>
      </c>
      <c r="E589" t="s">
        <v>24</v>
      </c>
      <c r="F589">
        <v>375522444</v>
      </c>
      <c r="G589" s="3" t="s">
        <v>14</v>
      </c>
      <c r="H589" t="str">
        <f>_xlfn.XLOOKUP(TRIM(D589),對應!D:D,對應!E:E,"未對應")</f>
        <v>3通路方案</v>
      </c>
    </row>
    <row r="590" spans="1:8" x14ac:dyDescent="0.4">
      <c r="A590" t="s">
        <v>43</v>
      </c>
      <c r="B590">
        <v>2025</v>
      </c>
      <c r="C590">
        <v>6</v>
      </c>
      <c r="D590" t="s">
        <v>10</v>
      </c>
      <c r="E590" t="s">
        <v>25</v>
      </c>
      <c r="F590">
        <v>-1938</v>
      </c>
      <c r="G590" s="3" t="s">
        <v>14</v>
      </c>
      <c r="H590" t="str">
        <f>_xlfn.XLOOKUP(TRIM(D590),對應!D:D,對應!E:E,"未對應")</f>
        <v>3通路方案</v>
      </c>
    </row>
    <row r="591" spans="1:8" x14ac:dyDescent="0.4">
      <c r="A591" t="s">
        <v>31</v>
      </c>
      <c r="B591">
        <v>2025</v>
      </c>
      <c r="C591">
        <v>6</v>
      </c>
      <c r="D591" t="s">
        <v>10</v>
      </c>
      <c r="E591" t="s">
        <v>30</v>
      </c>
      <c r="F591">
        <v>-29394</v>
      </c>
      <c r="G591" s="3" t="s">
        <v>12</v>
      </c>
      <c r="H591" t="str">
        <f>_xlfn.XLOOKUP(TRIM(D591),對應!D:D,對應!E:E,"未對應")</f>
        <v>3通路方案</v>
      </c>
    </row>
    <row r="592" spans="1:8" x14ac:dyDescent="0.4">
      <c r="A592" t="s">
        <v>31</v>
      </c>
      <c r="B592">
        <v>2025</v>
      </c>
      <c r="C592">
        <v>6</v>
      </c>
      <c r="D592" t="s">
        <v>10</v>
      </c>
      <c r="E592" t="s">
        <v>16</v>
      </c>
      <c r="F592">
        <v>-485369</v>
      </c>
      <c r="G592" s="3" t="s">
        <v>16</v>
      </c>
      <c r="H592" t="str">
        <f>_xlfn.XLOOKUP(TRIM(D592),對應!D:D,對應!E:E,"未對應")</f>
        <v>3通路方案</v>
      </c>
    </row>
    <row r="593" spans="1:8" x14ac:dyDescent="0.4">
      <c r="A593" t="s">
        <v>31</v>
      </c>
      <c r="B593">
        <v>2025</v>
      </c>
      <c r="C593">
        <v>6</v>
      </c>
      <c r="D593" t="s">
        <v>32</v>
      </c>
      <c r="E593" t="s">
        <v>16</v>
      </c>
      <c r="F593">
        <v>-73804</v>
      </c>
      <c r="G593" s="3" t="s">
        <v>32</v>
      </c>
      <c r="H593" t="str">
        <f>_xlfn.XLOOKUP(TRIM(D593),對應!D:D,對應!E:E,"未對應")</f>
        <v>5百事益</v>
      </c>
    </row>
    <row r="594" spans="1:8" x14ac:dyDescent="0.4">
      <c r="A594" t="s">
        <v>36</v>
      </c>
      <c r="B594">
        <v>2025</v>
      </c>
      <c r="C594">
        <v>1</v>
      </c>
      <c r="D594" t="s">
        <v>39</v>
      </c>
      <c r="E594" t="s">
        <v>40</v>
      </c>
      <c r="F594">
        <v>150611237</v>
      </c>
      <c r="G594" s="3" t="s">
        <v>42</v>
      </c>
      <c r="H594" t="str">
        <f>_xlfn.XLOOKUP(TRIM(D594),對應!D:D,對應!E:E,"未對應")</f>
        <v>2技宸</v>
      </c>
    </row>
    <row r="595" spans="1:8" x14ac:dyDescent="0.4">
      <c r="A595" t="s">
        <v>36</v>
      </c>
      <c r="B595">
        <v>2025</v>
      </c>
      <c r="C595">
        <v>1</v>
      </c>
      <c r="D595" t="s">
        <v>15</v>
      </c>
      <c r="E595" t="s">
        <v>16</v>
      </c>
      <c r="F595">
        <v>8037310</v>
      </c>
      <c r="G595" s="3" t="s">
        <v>16</v>
      </c>
      <c r="H595" t="str">
        <f>_xlfn.XLOOKUP(TRIM(D595),對應!D:D,對應!E:E,"未對應")</f>
        <v>7製造</v>
      </c>
    </row>
    <row r="596" spans="1:8" x14ac:dyDescent="0.4">
      <c r="A596" t="s">
        <v>36</v>
      </c>
      <c r="B596">
        <v>2025</v>
      </c>
      <c r="C596">
        <v>3</v>
      </c>
      <c r="D596" t="s">
        <v>8</v>
      </c>
      <c r="E596" t="s">
        <v>33</v>
      </c>
      <c r="F596">
        <v>9737024313</v>
      </c>
      <c r="G596" s="3" t="s">
        <v>9</v>
      </c>
      <c r="H596" t="str">
        <f>_xlfn.XLOOKUP(TRIM(D596),對應!D:D,對應!E:E,"未對應")</f>
        <v>1網通+技鋼</v>
      </c>
    </row>
    <row r="597" spans="1:8" x14ac:dyDescent="0.4">
      <c r="A597" t="s">
        <v>36</v>
      </c>
      <c r="B597">
        <v>2025</v>
      </c>
      <c r="C597">
        <v>4</v>
      </c>
      <c r="D597" t="s">
        <v>39</v>
      </c>
      <c r="E597" t="s">
        <v>40</v>
      </c>
      <c r="F597">
        <v>140280757</v>
      </c>
      <c r="G597" s="3" t="s">
        <v>9</v>
      </c>
      <c r="H597" t="str">
        <f>_xlfn.XLOOKUP(TRIM(D597),對應!D:D,對應!E:E,"未對應")</f>
        <v>2技宸</v>
      </c>
    </row>
    <row r="598" spans="1:8" x14ac:dyDescent="0.4">
      <c r="A598" t="s">
        <v>36</v>
      </c>
      <c r="B598">
        <v>2025</v>
      </c>
      <c r="C598">
        <v>4</v>
      </c>
      <c r="D598" t="s">
        <v>15</v>
      </c>
      <c r="E598" t="s">
        <v>16</v>
      </c>
      <c r="F598">
        <v>11931581</v>
      </c>
      <c r="G598" s="3" t="s">
        <v>16</v>
      </c>
      <c r="H598" t="str">
        <f>_xlfn.XLOOKUP(TRIM(D598),對應!D:D,對應!E:E,"未對應")</f>
        <v>7製造</v>
      </c>
    </row>
    <row r="599" spans="1:8" x14ac:dyDescent="0.4">
      <c r="A599" t="s">
        <v>36</v>
      </c>
      <c r="B599">
        <v>2025</v>
      </c>
      <c r="C599">
        <v>5</v>
      </c>
      <c r="D599" t="s">
        <v>15</v>
      </c>
      <c r="E599" t="s">
        <v>16</v>
      </c>
      <c r="F599">
        <v>224000</v>
      </c>
      <c r="G599" s="3" t="s">
        <v>16</v>
      </c>
      <c r="H599" t="str">
        <f>_xlfn.XLOOKUP(TRIM(D599),對應!D:D,對應!E:E,"未對應")</f>
        <v>7製造</v>
      </c>
    </row>
    <row r="600" spans="1:8" x14ac:dyDescent="0.4">
      <c r="A600" t="s">
        <v>36</v>
      </c>
      <c r="B600">
        <v>2025</v>
      </c>
      <c r="C600">
        <v>6</v>
      </c>
      <c r="D600" t="s">
        <v>8</v>
      </c>
      <c r="E600" t="s">
        <v>33</v>
      </c>
      <c r="F600">
        <v>16579478716</v>
      </c>
      <c r="G600" s="3" t="s">
        <v>9</v>
      </c>
      <c r="H600" t="str">
        <f>_xlfn.XLOOKUP(TRIM(D600),對應!D:D,對應!E:E,"未對應")</f>
        <v>1網通+技鋼</v>
      </c>
    </row>
    <row r="601" spans="1:8" x14ac:dyDescent="0.4">
      <c r="A601" t="s">
        <v>43</v>
      </c>
      <c r="B601">
        <v>2025</v>
      </c>
      <c r="C601">
        <v>6</v>
      </c>
      <c r="D601" t="s">
        <v>10</v>
      </c>
      <c r="E601" t="s">
        <v>21</v>
      </c>
      <c r="F601">
        <v>57939162</v>
      </c>
      <c r="G601" s="3" t="s">
        <v>22</v>
      </c>
      <c r="H601" t="str">
        <f>_xlfn.XLOOKUP(TRIM(D601),對應!D:D,對應!E:E,"未對應")</f>
        <v>3通路方案</v>
      </c>
    </row>
    <row r="602" spans="1:8" x14ac:dyDescent="0.4">
      <c r="A602" t="s">
        <v>41</v>
      </c>
      <c r="B602">
        <v>2025</v>
      </c>
      <c r="C602">
        <v>8</v>
      </c>
      <c r="D602" t="s">
        <v>17</v>
      </c>
      <c r="E602" t="s">
        <v>18</v>
      </c>
      <c r="F602">
        <v>-319442569</v>
      </c>
      <c r="G602" s="3" t="s">
        <v>19</v>
      </c>
      <c r="H602" t="str">
        <f>_xlfn.XLOOKUP(TRIM(D602),對應!D:D,對應!E:E,"未對應")</f>
        <v>4筆電+盈嘉</v>
      </c>
    </row>
    <row r="603" spans="1:8" x14ac:dyDescent="0.4">
      <c r="A603" t="s">
        <v>41</v>
      </c>
      <c r="B603">
        <v>2025</v>
      </c>
      <c r="C603">
        <v>8</v>
      </c>
      <c r="D603" t="s">
        <v>37</v>
      </c>
      <c r="E603" t="s">
        <v>16</v>
      </c>
      <c r="F603">
        <v>-23495</v>
      </c>
      <c r="G603" s="3" t="s">
        <v>37</v>
      </c>
      <c r="H603" t="str">
        <f>_xlfn.XLOOKUP(TRIM(D603),對應!D:D,對應!E:E,"未對應")</f>
        <v>6雲城</v>
      </c>
    </row>
    <row r="604" spans="1:8" x14ac:dyDescent="0.4">
      <c r="A604" t="s">
        <v>41</v>
      </c>
      <c r="B604">
        <v>2025</v>
      </c>
      <c r="C604">
        <v>8</v>
      </c>
      <c r="D604" t="s">
        <v>37</v>
      </c>
      <c r="E604" t="s">
        <v>16</v>
      </c>
      <c r="F604">
        <v>-162990</v>
      </c>
      <c r="G604" s="3" t="s">
        <v>37</v>
      </c>
      <c r="H604" t="str">
        <f>_xlfn.XLOOKUP(TRIM(D604),對應!D:D,對應!E:E,"未對應")</f>
        <v>6雲城</v>
      </c>
    </row>
    <row r="605" spans="1:8" x14ac:dyDescent="0.4">
      <c r="A605" t="s">
        <v>45</v>
      </c>
      <c r="B605">
        <v>2025</v>
      </c>
      <c r="C605">
        <v>8</v>
      </c>
      <c r="D605" t="s">
        <v>15</v>
      </c>
      <c r="E605" t="s">
        <v>16</v>
      </c>
      <c r="F605">
        <v>490028</v>
      </c>
      <c r="G605" s="3" t="s">
        <v>16</v>
      </c>
      <c r="H605" t="str">
        <f>_xlfn.XLOOKUP(TRIM(D605),對應!D:D,對應!E:E,"未對應")</f>
        <v>7製造</v>
      </c>
    </row>
    <row r="606" spans="1:8" x14ac:dyDescent="0.4">
      <c r="A606" t="s">
        <v>43</v>
      </c>
      <c r="B606">
        <v>2025</v>
      </c>
      <c r="C606">
        <v>8</v>
      </c>
      <c r="D606" t="s">
        <v>32</v>
      </c>
      <c r="E606" t="s">
        <v>16</v>
      </c>
      <c r="F606">
        <v>8165234</v>
      </c>
      <c r="G606" s="3" t="s">
        <v>32</v>
      </c>
      <c r="H606" t="str">
        <f>_xlfn.XLOOKUP(TRIM(D606),對應!D:D,對應!E:E,"未對應")</f>
        <v>5百事益</v>
      </c>
    </row>
    <row r="607" spans="1:8" x14ac:dyDescent="0.4">
      <c r="A607" t="s">
        <v>43</v>
      </c>
      <c r="B607">
        <v>2025</v>
      </c>
      <c r="C607">
        <v>8</v>
      </c>
      <c r="D607" t="s">
        <v>32</v>
      </c>
      <c r="E607" t="s">
        <v>16</v>
      </c>
      <c r="F607">
        <v>750219</v>
      </c>
      <c r="G607" s="3" t="s">
        <v>32</v>
      </c>
      <c r="H607" t="str">
        <f>_xlfn.XLOOKUP(TRIM(D607),對應!D:D,對應!E:E,"未對應")</f>
        <v>5百事益</v>
      </c>
    </row>
    <row r="608" spans="1:8" x14ac:dyDescent="0.4">
      <c r="A608" t="s">
        <v>43</v>
      </c>
      <c r="B608">
        <v>2025</v>
      </c>
      <c r="C608">
        <v>2</v>
      </c>
      <c r="D608" t="s">
        <v>8</v>
      </c>
      <c r="E608" t="s">
        <v>33</v>
      </c>
      <c r="F608">
        <v>144156135</v>
      </c>
      <c r="G608" s="3" t="s">
        <v>9</v>
      </c>
      <c r="H608" t="str">
        <f>_xlfn.XLOOKUP(TRIM(D608),對應!D:D,對應!E:E,"未對應")</f>
        <v>1網通+技鋼</v>
      </c>
    </row>
    <row r="609" spans="1:8" x14ac:dyDescent="0.4">
      <c r="A609" t="s">
        <v>43</v>
      </c>
      <c r="B609">
        <v>2025</v>
      </c>
      <c r="C609">
        <v>2</v>
      </c>
      <c r="D609" t="s">
        <v>32</v>
      </c>
      <c r="E609" t="s">
        <v>16</v>
      </c>
      <c r="F609">
        <v>3787461</v>
      </c>
      <c r="G609" s="3" t="s">
        <v>32</v>
      </c>
      <c r="H609" t="str">
        <f>_xlfn.XLOOKUP(TRIM(D609),對應!D:D,對應!E:E,"未對應")</f>
        <v>5百事益</v>
      </c>
    </row>
    <row r="610" spans="1:8" x14ac:dyDescent="0.4">
      <c r="A610" t="s">
        <v>43</v>
      </c>
      <c r="B610">
        <v>2025</v>
      </c>
      <c r="C610">
        <v>3</v>
      </c>
      <c r="D610" t="s">
        <v>10</v>
      </c>
      <c r="E610" t="s">
        <v>11</v>
      </c>
      <c r="F610">
        <v>10708734</v>
      </c>
      <c r="G610" s="3" t="s">
        <v>12</v>
      </c>
      <c r="H610" t="str">
        <f>_xlfn.XLOOKUP(TRIM(D610),對應!D:D,對應!E:E,"未對應")</f>
        <v>3通路方案</v>
      </c>
    </row>
    <row r="611" spans="1:8" x14ac:dyDescent="0.4">
      <c r="A611" t="s">
        <v>43</v>
      </c>
      <c r="B611">
        <v>2025</v>
      </c>
      <c r="C611">
        <v>3</v>
      </c>
      <c r="D611" t="s">
        <v>10</v>
      </c>
      <c r="E611" t="s">
        <v>26</v>
      </c>
      <c r="F611">
        <v>1409651</v>
      </c>
      <c r="G611" s="3" t="s">
        <v>14</v>
      </c>
      <c r="H611" t="str">
        <f>_xlfn.XLOOKUP(TRIM(D611),對應!D:D,對應!E:E,"未對應")</f>
        <v>3通路方案</v>
      </c>
    </row>
    <row r="612" spans="1:8" x14ac:dyDescent="0.4">
      <c r="A612" t="s">
        <v>43</v>
      </c>
      <c r="B612">
        <v>2025</v>
      </c>
      <c r="C612">
        <v>3</v>
      </c>
      <c r="D612" t="s">
        <v>10</v>
      </c>
      <c r="E612" t="s">
        <v>13</v>
      </c>
      <c r="F612">
        <v>-3152</v>
      </c>
      <c r="G612" s="3" t="s">
        <v>14</v>
      </c>
      <c r="H612" t="str">
        <f>_xlfn.XLOOKUP(TRIM(D612),對應!D:D,對應!E:E,"未對應")</f>
        <v>3通路方案</v>
      </c>
    </row>
    <row r="613" spans="1:8" x14ac:dyDescent="0.4">
      <c r="A613" t="s">
        <v>43</v>
      </c>
      <c r="B613">
        <v>2025</v>
      </c>
      <c r="C613">
        <v>4</v>
      </c>
      <c r="D613" t="s">
        <v>10</v>
      </c>
      <c r="E613" t="s">
        <v>16</v>
      </c>
      <c r="F613">
        <v>1865360</v>
      </c>
      <c r="G613" s="3" t="s">
        <v>16</v>
      </c>
      <c r="H613" t="str">
        <f>_xlfn.XLOOKUP(TRIM(D613),對應!D:D,對應!E:E,"未對應")</f>
        <v>3通路方案</v>
      </c>
    </row>
    <row r="614" spans="1:8" x14ac:dyDescent="0.4">
      <c r="A614" t="s">
        <v>43</v>
      </c>
      <c r="B614">
        <v>2025</v>
      </c>
      <c r="C614">
        <v>4</v>
      </c>
      <c r="D614" t="s">
        <v>10</v>
      </c>
      <c r="E614" t="s">
        <v>25</v>
      </c>
      <c r="F614">
        <v>-378441</v>
      </c>
      <c r="G614" s="3" t="s">
        <v>14</v>
      </c>
      <c r="H614" t="str">
        <f>_xlfn.XLOOKUP(TRIM(D614),對應!D:D,對應!E:E,"未對應")</f>
        <v>3通路方案</v>
      </c>
    </row>
    <row r="615" spans="1:8" x14ac:dyDescent="0.4">
      <c r="A615" t="s">
        <v>43</v>
      </c>
      <c r="B615">
        <v>2025</v>
      </c>
      <c r="C615">
        <v>4</v>
      </c>
      <c r="D615" t="s">
        <v>10</v>
      </c>
      <c r="E615" t="s">
        <v>21</v>
      </c>
      <c r="F615">
        <v>2240402494</v>
      </c>
      <c r="G615" s="3" t="s">
        <v>22</v>
      </c>
      <c r="H615" t="str">
        <f>_xlfn.XLOOKUP(TRIM(D615),對應!D:D,對應!E:E,"未對應")</f>
        <v>3通路方案</v>
      </c>
    </row>
    <row r="616" spans="1:8" x14ac:dyDescent="0.4">
      <c r="A616" t="s">
        <v>43</v>
      </c>
      <c r="B616">
        <v>2025</v>
      </c>
      <c r="C616">
        <v>4</v>
      </c>
      <c r="D616" t="s">
        <v>10</v>
      </c>
      <c r="E616" t="s">
        <v>26</v>
      </c>
      <c r="F616">
        <v>4047854</v>
      </c>
      <c r="G616" s="3" t="s">
        <v>14</v>
      </c>
      <c r="H616" t="str">
        <f>_xlfn.XLOOKUP(TRIM(D616),對應!D:D,對應!E:E,"未對應")</f>
        <v>3通路方案</v>
      </c>
    </row>
    <row r="617" spans="1:8" x14ac:dyDescent="0.4">
      <c r="A617" t="s">
        <v>43</v>
      </c>
      <c r="B617">
        <v>2025</v>
      </c>
      <c r="C617">
        <v>4</v>
      </c>
      <c r="D617" t="s">
        <v>10</v>
      </c>
      <c r="E617" t="s">
        <v>16</v>
      </c>
      <c r="F617">
        <v>297022</v>
      </c>
      <c r="G617" s="3" t="s">
        <v>16</v>
      </c>
      <c r="H617" t="str">
        <f>_xlfn.XLOOKUP(TRIM(D617),對應!D:D,對應!E:E,"未對應")</f>
        <v>3通路方案</v>
      </c>
    </row>
    <row r="618" spans="1:8" x14ac:dyDescent="0.4">
      <c r="A618" t="s">
        <v>43</v>
      </c>
      <c r="B618">
        <v>2025</v>
      </c>
      <c r="C618">
        <v>5</v>
      </c>
      <c r="D618" t="s">
        <v>32</v>
      </c>
      <c r="E618" t="s">
        <v>16</v>
      </c>
      <c r="F618">
        <v>114625</v>
      </c>
      <c r="G618" s="3" t="s">
        <v>32</v>
      </c>
      <c r="H618" t="str">
        <f>_xlfn.XLOOKUP(TRIM(D618),對應!D:D,對應!E:E,"未對應")</f>
        <v>5百事益</v>
      </c>
    </row>
    <row r="619" spans="1:8" x14ac:dyDescent="0.4">
      <c r="A619" t="s">
        <v>43</v>
      </c>
      <c r="B619">
        <v>2025</v>
      </c>
      <c r="C619">
        <v>5</v>
      </c>
      <c r="D619" t="s">
        <v>10</v>
      </c>
      <c r="E619" t="s">
        <v>25</v>
      </c>
      <c r="F619">
        <v>110391</v>
      </c>
      <c r="G619" s="3" t="s">
        <v>14</v>
      </c>
      <c r="H619" t="str">
        <f>_xlfn.XLOOKUP(TRIM(D619),對應!D:D,對應!E:E,"未對應")</f>
        <v>3通路方案</v>
      </c>
    </row>
    <row r="620" spans="1:8" x14ac:dyDescent="0.4">
      <c r="A620" t="s">
        <v>43</v>
      </c>
      <c r="B620">
        <v>2025</v>
      </c>
      <c r="C620">
        <v>5</v>
      </c>
      <c r="D620" t="s">
        <v>10</v>
      </c>
      <c r="E620" t="s">
        <v>21</v>
      </c>
      <c r="F620">
        <v>2340786582</v>
      </c>
      <c r="G620" s="3" t="s">
        <v>22</v>
      </c>
      <c r="H620" t="str">
        <f>_xlfn.XLOOKUP(TRIM(D620),對應!D:D,對應!E:E,"未對應")</f>
        <v>3通路方案</v>
      </c>
    </row>
    <row r="621" spans="1:8" x14ac:dyDescent="0.4">
      <c r="A621" t="s">
        <v>43</v>
      </c>
      <c r="B621">
        <v>2025</v>
      </c>
      <c r="C621">
        <v>5</v>
      </c>
      <c r="D621" t="s">
        <v>32</v>
      </c>
      <c r="E621" t="s">
        <v>16</v>
      </c>
      <c r="F621">
        <v>9168959</v>
      </c>
      <c r="G621" s="3" t="s">
        <v>32</v>
      </c>
      <c r="H621" t="str">
        <f>_xlfn.XLOOKUP(TRIM(D621),對應!D:D,對應!E:E,"未對應")</f>
        <v>5百事益</v>
      </c>
    </row>
    <row r="622" spans="1:8" x14ac:dyDescent="0.4">
      <c r="A622" t="s">
        <v>43</v>
      </c>
      <c r="B622">
        <v>2025</v>
      </c>
      <c r="C622">
        <v>5</v>
      </c>
      <c r="D622" t="s">
        <v>10</v>
      </c>
      <c r="E622" t="s">
        <v>13</v>
      </c>
      <c r="F622">
        <v>-2364</v>
      </c>
      <c r="G622" s="3" t="s">
        <v>14</v>
      </c>
      <c r="H622" t="str">
        <f>_xlfn.XLOOKUP(TRIM(D622),對應!D:D,對應!E:E,"未對應")</f>
        <v>3通路方案</v>
      </c>
    </row>
    <row r="623" spans="1:8" x14ac:dyDescent="0.4">
      <c r="A623" t="s">
        <v>43</v>
      </c>
      <c r="B623">
        <v>2025</v>
      </c>
      <c r="C623">
        <v>5</v>
      </c>
      <c r="D623" t="s">
        <v>8</v>
      </c>
      <c r="E623" t="s">
        <v>33</v>
      </c>
      <c r="F623">
        <v>141318090</v>
      </c>
      <c r="G623" s="3" t="s">
        <v>9</v>
      </c>
      <c r="H623" t="str">
        <f>_xlfn.XLOOKUP(TRIM(D623),對應!D:D,對應!E:E,"未對應")</f>
        <v>1網通+技鋼</v>
      </c>
    </row>
    <row r="624" spans="1:8" x14ac:dyDescent="0.4">
      <c r="A624" t="s">
        <v>43</v>
      </c>
      <c r="B624">
        <v>2025</v>
      </c>
      <c r="C624">
        <v>5</v>
      </c>
      <c r="D624" t="s">
        <v>32</v>
      </c>
      <c r="E624" t="s">
        <v>16</v>
      </c>
      <c r="F624">
        <v>5386352</v>
      </c>
      <c r="G624" s="3" t="s">
        <v>32</v>
      </c>
      <c r="H624" t="str">
        <f>_xlfn.XLOOKUP(TRIM(D624),對應!D:D,對應!E:E,"未對應")</f>
        <v>5百事益</v>
      </c>
    </row>
    <row r="625" spans="1:8" x14ac:dyDescent="0.4">
      <c r="A625" t="s">
        <v>43</v>
      </c>
      <c r="B625">
        <v>2025</v>
      </c>
      <c r="C625">
        <v>5</v>
      </c>
      <c r="D625" t="s">
        <v>10</v>
      </c>
      <c r="E625" t="s">
        <v>16</v>
      </c>
      <c r="F625">
        <v>1103318</v>
      </c>
      <c r="G625" s="3" t="s">
        <v>16</v>
      </c>
      <c r="H625" t="str">
        <f>_xlfn.XLOOKUP(TRIM(D625),對應!D:D,對應!E:E,"未對應")</f>
        <v>3通路方案</v>
      </c>
    </row>
    <row r="626" spans="1:8" x14ac:dyDescent="0.4">
      <c r="A626" t="s">
        <v>43</v>
      </c>
      <c r="B626">
        <v>2025</v>
      </c>
      <c r="C626">
        <v>6</v>
      </c>
      <c r="D626" t="s">
        <v>10</v>
      </c>
      <c r="E626" t="s">
        <v>11</v>
      </c>
      <c r="F626">
        <v>3723799</v>
      </c>
      <c r="G626" s="3" t="s">
        <v>12</v>
      </c>
      <c r="H626" t="str">
        <f>_xlfn.XLOOKUP(TRIM(D626),對應!D:D,對應!E:E,"未對應")</f>
        <v>3通路方案</v>
      </c>
    </row>
    <row r="627" spans="1:8" x14ac:dyDescent="0.4">
      <c r="A627" t="s">
        <v>43</v>
      </c>
      <c r="B627">
        <v>2025</v>
      </c>
      <c r="C627">
        <v>6</v>
      </c>
      <c r="D627" t="s">
        <v>10</v>
      </c>
      <c r="E627" t="s">
        <v>26</v>
      </c>
      <c r="F627">
        <v>-7971</v>
      </c>
      <c r="G627" s="3" t="s">
        <v>14</v>
      </c>
      <c r="H627" t="str">
        <f>_xlfn.XLOOKUP(TRIM(D627),對應!D:D,對應!E:E,"未對應")</f>
        <v>3通路方案</v>
      </c>
    </row>
    <row r="628" spans="1:8" x14ac:dyDescent="0.4">
      <c r="A628" t="s">
        <v>43</v>
      </c>
      <c r="B628">
        <v>2025</v>
      </c>
      <c r="C628">
        <v>6</v>
      </c>
      <c r="D628" t="s">
        <v>10</v>
      </c>
      <c r="E628" t="s">
        <v>13</v>
      </c>
      <c r="F628">
        <v>718</v>
      </c>
      <c r="G628" s="3" t="s">
        <v>14</v>
      </c>
      <c r="H628" t="str">
        <f>_xlfn.XLOOKUP(TRIM(D628),對應!D:D,對應!E:E,"未對應")</f>
        <v>3通路方案</v>
      </c>
    </row>
    <row r="629" spans="1:8" x14ac:dyDescent="0.4">
      <c r="A629" t="s">
        <v>43</v>
      </c>
      <c r="B629">
        <v>2025</v>
      </c>
      <c r="C629">
        <v>8</v>
      </c>
      <c r="D629" t="s">
        <v>10</v>
      </c>
      <c r="E629" t="s">
        <v>24</v>
      </c>
      <c r="F629">
        <v>714656435</v>
      </c>
      <c r="G629" s="3" t="s">
        <v>14</v>
      </c>
      <c r="H629" t="str">
        <f>_xlfn.XLOOKUP(TRIM(D629),對應!D:D,對應!E:E,"未對應")</f>
        <v>3通路方案</v>
      </c>
    </row>
    <row r="630" spans="1:8" x14ac:dyDescent="0.4">
      <c r="A630" t="s">
        <v>43</v>
      </c>
      <c r="B630">
        <v>2025</v>
      </c>
      <c r="C630">
        <v>8</v>
      </c>
      <c r="D630" t="s">
        <v>10</v>
      </c>
      <c r="E630" t="s">
        <v>25</v>
      </c>
      <c r="F630">
        <v>51189</v>
      </c>
      <c r="G630" s="3" t="s">
        <v>14</v>
      </c>
      <c r="H630" t="str">
        <f>_xlfn.XLOOKUP(TRIM(D630),對應!D:D,對應!E:E,"未對應")</f>
        <v>3通路方案</v>
      </c>
    </row>
    <row r="631" spans="1:8" x14ac:dyDescent="0.4">
      <c r="A631" t="s">
        <v>43</v>
      </c>
      <c r="B631">
        <v>2025</v>
      </c>
      <c r="C631">
        <v>8</v>
      </c>
      <c r="D631" t="s">
        <v>10</v>
      </c>
      <c r="E631" t="s">
        <v>27</v>
      </c>
      <c r="F631">
        <v>25938778</v>
      </c>
      <c r="G631" s="3" t="s">
        <v>28</v>
      </c>
      <c r="H631" t="str">
        <f>_xlfn.XLOOKUP(TRIM(D631),對應!D:D,對應!E:E,"未對應")</f>
        <v>3通路方案</v>
      </c>
    </row>
    <row r="632" spans="1:8" x14ac:dyDescent="0.4">
      <c r="A632" t="s">
        <v>43</v>
      </c>
      <c r="B632">
        <v>2025</v>
      </c>
      <c r="C632">
        <v>8</v>
      </c>
      <c r="D632" t="s">
        <v>10</v>
      </c>
      <c r="E632" t="s">
        <v>16</v>
      </c>
      <c r="F632">
        <v>404217</v>
      </c>
      <c r="G632" s="3" t="s">
        <v>16</v>
      </c>
      <c r="H632" t="str">
        <f>_xlfn.XLOOKUP(TRIM(D632),對應!D:D,對應!E:E,"未對應")</f>
        <v>3通路方案</v>
      </c>
    </row>
    <row r="633" spans="1:8" x14ac:dyDescent="0.4">
      <c r="A633" t="s">
        <v>43</v>
      </c>
      <c r="B633">
        <v>2025</v>
      </c>
      <c r="C633">
        <v>8</v>
      </c>
      <c r="D633" t="s">
        <v>10</v>
      </c>
      <c r="E633" t="s">
        <v>21</v>
      </c>
      <c r="F633">
        <v>1272957620</v>
      </c>
      <c r="G633" s="3" t="s">
        <v>22</v>
      </c>
      <c r="H633" t="str">
        <f>_xlfn.XLOOKUP(TRIM(D633),對應!D:D,對應!E:E,"未對應")</f>
        <v>3通路方案</v>
      </c>
    </row>
    <row r="634" spans="1:8" x14ac:dyDescent="0.4">
      <c r="A634" t="s">
        <v>43</v>
      </c>
      <c r="B634">
        <v>2025</v>
      </c>
      <c r="C634">
        <v>8</v>
      </c>
      <c r="D634" t="s">
        <v>8</v>
      </c>
      <c r="E634" t="s">
        <v>33</v>
      </c>
      <c r="F634">
        <v>22180501</v>
      </c>
      <c r="G634" s="3" t="s">
        <v>9</v>
      </c>
      <c r="H634" t="str">
        <f>_xlfn.XLOOKUP(TRIM(D634),對應!D:D,對應!E:E,"未對應")</f>
        <v>1網通+技鋼</v>
      </c>
    </row>
    <row r="635" spans="1:8" x14ac:dyDescent="0.4">
      <c r="A635" t="s">
        <v>43</v>
      </c>
      <c r="B635">
        <v>2025</v>
      </c>
      <c r="C635">
        <v>8</v>
      </c>
      <c r="D635" t="s">
        <v>32</v>
      </c>
      <c r="E635" t="s">
        <v>16</v>
      </c>
      <c r="F635">
        <v>4890702</v>
      </c>
      <c r="G635" s="3" t="s">
        <v>32</v>
      </c>
      <c r="H635" t="str">
        <f>_xlfn.XLOOKUP(TRIM(D635),對應!D:D,對應!E:E,"未對應")</f>
        <v>5百事益</v>
      </c>
    </row>
    <row r="636" spans="1:8" x14ac:dyDescent="0.4">
      <c r="A636" t="s">
        <v>43</v>
      </c>
      <c r="B636">
        <v>2025</v>
      </c>
      <c r="C636">
        <v>8</v>
      </c>
      <c r="D636" t="s">
        <v>10</v>
      </c>
      <c r="E636" t="s">
        <v>16</v>
      </c>
      <c r="F636">
        <v>4573473</v>
      </c>
      <c r="G636" s="3" t="s">
        <v>16</v>
      </c>
      <c r="H636" t="str">
        <f>_xlfn.XLOOKUP(TRIM(D636),對應!D:D,對應!E:E,"未對應")</f>
        <v>3通路方案</v>
      </c>
    </row>
    <row r="637" spans="1:8" x14ac:dyDescent="0.4">
      <c r="A637" t="s">
        <v>43</v>
      </c>
      <c r="B637">
        <v>2025</v>
      </c>
      <c r="C637">
        <v>8</v>
      </c>
      <c r="D637" t="s">
        <v>32</v>
      </c>
      <c r="E637" t="s">
        <v>16</v>
      </c>
      <c r="F637">
        <v>9138362</v>
      </c>
      <c r="G637" s="3" t="s">
        <v>32</v>
      </c>
      <c r="H637" t="str">
        <f>_xlfn.XLOOKUP(TRIM(D637),對應!D:D,對應!E:E,"未對應")</f>
        <v>5百事益</v>
      </c>
    </row>
    <row r="638" spans="1:8" x14ac:dyDescent="0.4">
      <c r="A638" t="s">
        <v>7</v>
      </c>
      <c r="B638">
        <v>2025</v>
      </c>
      <c r="C638">
        <v>8</v>
      </c>
      <c r="D638" t="s">
        <v>10</v>
      </c>
      <c r="E638" t="s">
        <v>30</v>
      </c>
      <c r="F638">
        <v>8124446</v>
      </c>
      <c r="G638" s="3" t="s">
        <v>12</v>
      </c>
      <c r="H638" t="str">
        <f>_xlfn.XLOOKUP(TRIM(D638),對應!D:D,對應!E:E,"未對應")</f>
        <v>3通路方案</v>
      </c>
    </row>
    <row r="639" spans="1:8" x14ac:dyDescent="0.4">
      <c r="A639" t="s">
        <v>7</v>
      </c>
      <c r="B639">
        <v>2025</v>
      </c>
      <c r="C639">
        <v>8</v>
      </c>
      <c r="D639" t="s">
        <v>10</v>
      </c>
      <c r="E639" t="s">
        <v>20</v>
      </c>
      <c r="F639">
        <v>11743651</v>
      </c>
      <c r="G639" s="3" t="s">
        <v>12</v>
      </c>
      <c r="H639" t="str">
        <f>_xlfn.XLOOKUP(TRIM(D639),對應!D:D,對應!E:E,"未對應")</f>
        <v>3通路方案</v>
      </c>
    </row>
    <row r="640" spans="1:8" x14ac:dyDescent="0.4">
      <c r="A640" t="s">
        <v>7</v>
      </c>
      <c r="B640">
        <v>2025</v>
      </c>
      <c r="C640">
        <v>8</v>
      </c>
      <c r="D640" t="s">
        <v>10</v>
      </c>
      <c r="E640" t="s">
        <v>25</v>
      </c>
      <c r="F640">
        <v>1358910</v>
      </c>
      <c r="G640" s="3" t="s">
        <v>14</v>
      </c>
      <c r="H640" t="str">
        <f>_xlfn.XLOOKUP(TRIM(D640),對應!D:D,對應!E:E,"未對應")</f>
        <v>3通路方案</v>
      </c>
    </row>
    <row r="641" spans="1:8" x14ac:dyDescent="0.4">
      <c r="A641" t="s">
        <v>7</v>
      </c>
      <c r="B641">
        <v>2025</v>
      </c>
      <c r="C641">
        <v>8</v>
      </c>
      <c r="D641" t="s">
        <v>10</v>
      </c>
      <c r="E641" t="s">
        <v>27</v>
      </c>
      <c r="F641">
        <v>290293377</v>
      </c>
      <c r="G641" s="3" t="s">
        <v>28</v>
      </c>
      <c r="H641" t="str">
        <f>_xlfn.XLOOKUP(TRIM(D641),對應!D:D,對應!E:E,"未對應")</f>
        <v>3通路方案</v>
      </c>
    </row>
    <row r="642" spans="1:8" x14ac:dyDescent="0.4">
      <c r="A642" t="s">
        <v>7</v>
      </c>
      <c r="B642">
        <v>2025</v>
      </c>
      <c r="C642">
        <v>8</v>
      </c>
      <c r="D642" t="s">
        <v>10</v>
      </c>
      <c r="E642" t="s">
        <v>16</v>
      </c>
      <c r="F642">
        <v>10855982</v>
      </c>
      <c r="G642" s="3" t="s">
        <v>16</v>
      </c>
      <c r="H642" t="str">
        <f>_xlfn.XLOOKUP(TRIM(D642),對應!D:D,對應!E:E,"未對應")</f>
        <v>3通路方案</v>
      </c>
    </row>
    <row r="643" spans="1:8" x14ac:dyDescent="0.4">
      <c r="A643" t="s">
        <v>31</v>
      </c>
      <c r="B643">
        <v>2025</v>
      </c>
      <c r="C643">
        <v>3</v>
      </c>
      <c r="D643" t="s">
        <v>32</v>
      </c>
      <c r="E643" t="s">
        <v>16</v>
      </c>
      <c r="F643">
        <v>-24687</v>
      </c>
      <c r="G643" s="3" t="s">
        <v>32</v>
      </c>
      <c r="H643" t="str">
        <f>_xlfn.XLOOKUP(TRIM(D643),對應!D:D,對應!E:E,"未對應")</f>
        <v>5百事益</v>
      </c>
    </row>
    <row r="644" spans="1:8" x14ac:dyDescent="0.4">
      <c r="A644" t="s">
        <v>31</v>
      </c>
      <c r="B644">
        <v>2025</v>
      </c>
      <c r="C644">
        <v>3</v>
      </c>
      <c r="D644" t="s">
        <v>8</v>
      </c>
      <c r="E644" t="s">
        <v>33</v>
      </c>
      <c r="F644">
        <v>-4586057</v>
      </c>
      <c r="G644" s="3" t="s">
        <v>9</v>
      </c>
      <c r="H644" t="str">
        <f>_xlfn.XLOOKUP(TRIM(D644),對應!D:D,對應!E:E,"未對應")</f>
        <v>1網通+技鋼</v>
      </c>
    </row>
    <row r="645" spans="1:8" x14ac:dyDescent="0.4">
      <c r="A645" t="s">
        <v>31</v>
      </c>
      <c r="B645">
        <v>2025</v>
      </c>
      <c r="C645">
        <v>4</v>
      </c>
      <c r="D645" t="s">
        <v>32</v>
      </c>
      <c r="E645" t="s">
        <v>16</v>
      </c>
      <c r="F645">
        <v>-1818193</v>
      </c>
      <c r="G645" s="3" t="s">
        <v>32</v>
      </c>
      <c r="H645" t="str">
        <f>_xlfn.XLOOKUP(TRIM(D645),對應!D:D,對應!E:E,"未對應")</f>
        <v>5百事益</v>
      </c>
    </row>
    <row r="646" spans="1:8" x14ac:dyDescent="0.4">
      <c r="A646" t="s">
        <v>31</v>
      </c>
      <c r="B646">
        <v>2025</v>
      </c>
      <c r="C646">
        <v>4</v>
      </c>
      <c r="D646" t="s">
        <v>10</v>
      </c>
      <c r="E646" t="s">
        <v>16</v>
      </c>
      <c r="F646">
        <v>-397026</v>
      </c>
      <c r="G646" s="3" t="s">
        <v>16</v>
      </c>
      <c r="H646" t="str">
        <f>_xlfn.XLOOKUP(TRIM(D646),對應!D:D,對應!E:E,"未對應")</f>
        <v>3通路方案</v>
      </c>
    </row>
    <row r="647" spans="1:8" x14ac:dyDescent="0.4">
      <c r="A647" t="s">
        <v>31</v>
      </c>
      <c r="B647">
        <v>2025</v>
      </c>
      <c r="C647">
        <v>4</v>
      </c>
      <c r="D647" t="s">
        <v>10</v>
      </c>
      <c r="E647" t="s">
        <v>11</v>
      </c>
      <c r="F647">
        <v>-822933</v>
      </c>
      <c r="G647" s="3" t="s">
        <v>12</v>
      </c>
      <c r="H647" t="str">
        <f>_xlfn.XLOOKUP(TRIM(D647),對應!D:D,對應!E:E,"未對應")</f>
        <v>3通路方案</v>
      </c>
    </row>
    <row r="648" spans="1:8" x14ac:dyDescent="0.4">
      <c r="A648" t="s">
        <v>31</v>
      </c>
      <c r="B648">
        <v>2025</v>
      </c>
      <c r="C648">
        <v>4</v>
      </c>
      <c r="D648" t="s">
        <v>8</v>
      </c>
      <c r="E648" t="s">
        <v>33</v>
      </c>
      <c r="F648">
        <v>-5414747</v>
      </c>
      <c r="G648" s="3" t="s">
        <v>9</v>
      </c>
      <c r="H648" t="str">
        <f>_xlfn.XLOOKUP(TRIM(D648),對應!D:D,對應!E:E,"未對應")</f>
        <v>1網通+技鋼</v>
      </c>
    </row>
    <row r="649" spans="1:8" x14ac:dyDescent="0.4">
      <c r="A649" t="s">
        <v>31</v>
      </c>
      <c r="B649">
        <v>2025</v>
      </c>
      <c r="C649">
        <v>4</v>
      </c>
      <c r="D649" t="s">
        <v>32</v>
      </c>
      <c r="E649" t="s">
        <v>16</v>
      </c>
      <c r="F649">
        <v>-137317</v>
      </c>
      <c r="G649" s="3" t="s">
        <v>32</v>
      </c>
      <c r="H649" t="str">
        <f>_xlfn.XLOOKUP(TRIM(D649),對應!D:D,對應!E:E,"未對應")</f>
        <v>5百事益</v>
      </c>
    </row>
    <row r="650" spans="1:8" x14ac:dyDescent="0.4">
      <c r="A650" t="s">
        <v>31</v>
      </c>
      <c r="B650">
        <v>2025</v>
      </c>
      <c r="C650">
        <v>5</v>
      </c>
      <c r="D650" t="s">
        <v>32</v>
      </c>
      <c r="E650" t="s">
        <v>16</v>
      </c>
      <c r="F650">
        <v>-29929</v>
      </c>
      <c r="G650" s="3" t="s">
        <v>32</v>
      </c>
      <c r="H650" t="str">
        <f>_xlfn.XLOOKUP(TRIM(D650),對應!D:D,對應!E:E,"未對應")</f>
        <v>5百事益</v>
      </c>
    </row>
    <row r="651" spans="1:8" x14ac:dyDescent="0.4">
      <c r="A651" t="s">
        <v>31</v>
      </c>
      <c r="B651">
        <v>2025</v>
      </c>
      <c r="C651">
        <v>6</v>
      </c>
      <c r="D651" t="s">
        <v>8</v>
      </c>
      <c r="E651" t="s">
        <v>33</v>
      </c>
      <c r="F651">
        <v>-2980</v>
      </c>
      <c r="G651" s="3" t="s">
        <v>9</v>
      </c>
      <c r="H651" t="str">
        <f>_xlfn.XLOOKUP(TRIM(D651),對應!D:D,對應!E:E,"未對應")</f>
        <v>1網通+技鋼</v>
      </c>
    </row>
    <row r="652" spans="1:8" x14ac:dyDescent="0.4">
      <c r="A652" t="s">
        <v>31</v>
      </c>
      <c r="B652">
        <v>2025</v>
      </c>
      <c r="C652">
        <v>6</v>
      </c>
      <c r="D652" t="s">
        <v>17</v>
      </c>
      <c r="E652" t="s">
        <v>18</v>
      </c>
      <c r="F652">
        <v>-2713128</v>
      </c>
      <c r="G652" s="3" t="s">
        <v>19</v>
      </c>
      <c r="H652" t="str">
        <f>_xlfn.XLOOKUP(TRIM(D652),對應!D:D,對應!E:E,"未對應")</f>
        <v>4筆電+盈嘉</v>
      </c>
    </row>
    <row r="653" spans="1:8" x14ac:dyDescent="0.4">
      <c r="A653" t="s">
        <v>31</v>
      </c>
      <c r="B653">
        <v>2025</v>
      </c>
      <c r="C653">
        <v>6</v>
      </c>
      <c r="D653" t="s">
        <v>10</v>
      </c>
      <c r="E653" t="s">
        <v>27</v>
      </c>
      <c r="F653">
        <v>-3813193</v>
      </c>
      <c r="G653" s="3" t="s">
        <v>28</v>
      </c>
      <c r="H653" t="str">
        <f>_xlfn.XLOOKUP(TRIM(D653),對應!D:D,對應!E:E,"未對應")</f>
        <v>3通路方案</v>
      </c>
    </row>
    <row r="654" spans="1:8" x14ac:dyDescent="0.4">
      <c r="A654" t="s">
        <v>31</v>
      </c>
      <c r="B654">
        <v>2025</v>
      </c>
      <c r="C654">
        <v>6</v>
      </c>
      <c r="D654" t="s">
        <v>10</v>
      </c>
      <c r="E654" t="s">
        <v>21</v>
      </c>
      <c r="F654">
        <v>-15620865</v>
      </c>
      <c r="G654" s="3" t="s">
        <v>22</v>
      </c>
      <c r="H654" t="str">
        <f>_xlfn.XLOOKUP(TRIM(D654),對應!D:D,對應!E:E,"未對應")</f>
        <v>3通路方案</v>
      </c>
    </row>
    <row r="655" spans="1:8" x14ac:dyDescent="0.4">
      <c r="A655" t="s">
        <v>41</v>
      </c>
      <c r="B655">
        <v>2025</v>
      </c>
      <c r="C655">
        <v>1</v>
      </c>
      <c r="D655" t="s">
        <v>32</v>
      </c>
      <c r="E655" t="s">
        <v>16</v>
      </c>
      <c r="F655">
        <v>-163663</v>
      </c>
      <c r="G655" s="3" t="s">
        <v>32</v>
      </c>
      <c r="H655" t="str">
        <f>_xlfn.XLOOKUP(TRIM(D655),對應!D:D,對應!E:E,"未對應")</f>
        <v>5百事益</v>
      </c>
    </row>
    <row r="656" spans="1:8" x14ac:dyDescent="0.4">
      <c r="A656" t="s">
        <v>41</v>
      </c>
      <c r="B656">
        <v>2025</v>
      </c>
      <c r="C656">
        <v>1</v>
      </c>
      <c r="D656" t="s">
        <v>39</v>
      </c>
      <c r="E656" t="s">
        <v>40</v>
      </c>
      <c r="F656">
        <v>-505791</v>
      </c>
      <c r="G656" s="3" t="s">
        <v>42</v>
      </c>
      <c r="H656" t="str">
        <f>_xlfn.XLOOKUP(TRIM(D656),對應!D:D,對應!E:E,"未對應")</f>
        <v>2技宸</v>
      </c>
    </row>
    <row r="657" spans="1:8" x14ac:dyDescent="0.4">
      <c r="A657" t="s">
        <v>41</v>
      </c>
      <c r="B657">
        <v>2025</v>
      </c>
      <c r="C657">
        <v>1</v>
      </c>
      <c r="D657" t="s">
        <v>8</v>
      </c>
      <c r="E657" t="s">
        <v>33</v>
      </c>
      <c r="F657">
        <v>-60299</v>
      </c>
      <c r="G657" s="3" t="s">
        <v>9</v>
      </c>
      <c r="H657" t="str">
        <f>_xlfn.XLOOKUP(TRIM(D657),對應!D:D,對應!E:E,"未對應")</f>
        <v>1網通+技鋼</v>
      </c>
    </row>
    <row r="658" spans="1:8" x14ac:dyDescent="0.4">
      <c r="A658" t="s">
        <v>41</v>
      </c>
      <c r="B658">
        <v>2025</v>
      </c>
      <c r="C658">
        <v>1</v>
      </c>
      <c r="D658" t="s">
        <v>8</v>
      </c>
      <c r="E658" t="s">
        <v>33</v>
      </c>
      <c r="F658">
        <v>-1560608</v>
      </c>
      <c r="G658" s="3" t="s">
        <v>9</v>
      </c>
      <c r="H658" t="str">
        <f>_xlfn.XLOOKUP(TRIM(D658),對應!D:D,對應!E:E,"未對應")</f>
        <v>1網通+技鋼</v>
      </c>
    </row>
    <row r="659" spans="1:8" x14ac:dyDescent="0.4">
      <c r="A659" t="s">
        <v>41</v>
      </c>
      <c r="B659">
        <v>2025</v>
      </c>
      <c r="C659">
        <v>2</v>
      </c>
      <c r="D659" t="s">
        <v>32</v>
      </c>
      <c r="E659" t="s">
        <v>16</v>
      </c>
      <c r="F659">
        <v>-187678</v>
      </c>
      <c r="G659" s="3" t="s">
        <v>32</v>
      </c>
      <c r="H659" t="str">
        <f>_xlfn.XLOOKUP(TRIM(D659),對應!D:D,對應!E:E,"未對應")</f>
        <v>5百事益</v>
      </c>
    </row>
    <row r="660" spans="1:8" x14ac:dyDescent="0.4">
      <c r="A660" t="s">
        <v>41</v>
      </c>
      <c r="B660">
        <v>2025</v>
      </c>
      <c r="C660">
        <v>2</v>
      </c>
      <c r="D660" t="s">
        <v>8</v>
      </c>
      <c r="E660" t="s">
        <v>33</v>
      </c>
      <c r="F660">
        <v>-119458077</v>
      </c>
      <c r="G660" s="3" t="s">
        <v>9</v>
      </c>
      <c r="H660" t="str">
        <f>_xlfn.XLOOKUP(TRIM(D660),對應!D:D,對應!E:E,"未對應")</f>
        <v>1網通+技鋼</v>
      </c>
    </row>
    <row r="661" spans="1:8" x14ac:dyDescent="0.4">
      <c r="A661" t="s">
        <v>41</v>
      </c>
      <c r="B661">
        <v>2025</v>
      </c>
      <c r="C661">
        <v>3</v>
      </c>
      <c r="D661" t="s">
        <v>8</v>
      </c>
      <c r="E661" t="s">
        <v>33</v>
      </c>
      <c r="F661">
        <v>-135719928</v>
      </c>
      <c r="G661" s="3" t="s">
        <v>9</v>
      </c>
      <c r="H661" t="str">
        <f>_xlfn.XLOOKUP(TRIM(D661),對應!D:D,對應!E:E,"未對應")</f>
        <v>1網通+技鋼</v>
      </c>
    </row>
    <row r="662" spans="1:8" x14ac:dyDescent="0.4">
      <c r="A662" t="s">
        <v>41</v>
      </c>
      <c r="B662">
        <v>2025</v>
      </c>
      <c r="C662">
        <v>3</v>
      </c>
      <c r="D662" t="s">
        <v>37</v>
      </c>
      <c r="E662" t="s">
        <v>16</v>
      </c>
      <c r="F662">
        <v>-1250654</v>
      </c>
      <c r="G662" s="3" t="s">
        <v>37</v>
      </c>
      <c r="H662" t="str">
        <f>_xlfn.XLOOKUP(TRIM(D662),對應!D:D,對應!E:E,"未對應")</f>
        <v>6雲城</v>
      </c>
    </row>
    <row r="663" spans="1:8" x14ac:dyDescent="0.4">
      <c r="A663" t="s">
        <v>41</v>
      </c>
      <c r="B663">
        <v>2025</v>
      </c>
      <c r="C663">
        <v>4</v>
      </c>
      <c r="D663" t="s">
        <v>32</v>
      </c>
      <c r="E663" t="s">
        <v>16</v>
      </c>
      <c r="F663">
        <v>-171451</v>
      </c>
      <c r="G663" s="3" t="s">
        <v>32</v>
      </c>
      <c r="H663" t="str">
        <f>_xlfn.XLOOKUP(TRIM(D663),對應!D:D,對應!E:E,"未對應")</f>
        <v>5百事益</v>
      </c>
    </row>
    <row r="664" spans="1:8" x14ac:dyDescent="0.4">
      <c r="A664" t="s">
        <v>41</v>
      </c>
      <c r="B664">
        <v>2025</v>
      </c>
      <c r="C664">
        <v>4</v>
      </c>
      <c r="D664" t="s">
        <v>39</v>
      </c>
      <c r="E664" t="s">
        <v>40</v>
      </c>
      <c r="F664">
        <v>-5460296</v>
      </c>
      <c r="G664" s="3" t="s">
        <v>42</v>
      </c>
      <c r="H664" t="str">
        <f>_xlfn.XLOOKUP(TRIM(D664),對應!D:D,對應!E:E,"未對應")</f>
        <v>2技宸</v>
      </c>
    </row>
    <row r="665" spans="1:8" x14ac:dyDescent="0.4">
      <c r="A665" t="s">
        <v>41</v>
      </c>
      <c r="B665">
        <v>2025</v>
      </c>
      <c r="C665">
        <v>4</v>
      </c>
      <c r="D665" t="s">
        <v>8</v>
      </c>
      <c r="E665" t="s">
        <v>33</v>
      </c>
      <c r="F665">
        <v>-74597</v>
      </c>
      <c r="G665" s="3" t="s">
        <v>9</v>
      </c>
      <c r="H665" t="str">
        <f>_xlfn.XLOOKUP(TRIM(D665),對應!D:D,對應!E:E,"未對應")</f>
        <v>1網通+技鋼</v>
      </c>
    </row>
    <row r="666" spans="1:8" x14ac:dyDescent="0.4">
      <c r="A666" t="s">
        <v>41</v>
      </c>
      <c r="B666">
        <v>2025</v>
      </c>
      <c r="C666">
        <v>5</v>
      </c>
      <c r="D666" t="s">
        <v>32</v>
      </c>
      <c r="E666" t="s">
        <v>16</v>
      </c>
      <c r="F666">
        <v>-924010</v>
      </c>
      <c r="G666" s="3" t="s">
        <v>32</v>
      </c>
      <c r="H666" t="str">
        <f>_xlfn.XLOOKUP(TRIM(D666),對應!D:D,對應!E:E,"未對應")</f>
        <v>5百事益</v>
      </c>
    </row>
    <row r="667" spans="1:8" x14ac:dyDescent="0.4">
      <c r="A667" t="s">
        <v>45</v>
      </c>
      <c r="B667">
        <v>2025</v>
      </c>
      <c r="C667">
        <v>2</v>
      </c>
      <c r="D667" t="s">
        <v>15</v>
      </c>
      <c r="E667" t="s">
        <v>16</v>
      </c>
      <c r="F667">
        <v>707953</v>
      </c>
      <c r="G667" s="3" t="s">
        <v>16</v>
      </c>
      <c r="H667" t="str">
        <f>_xlfn.XLOOKUP(TRIM(D667),對應!D:D,對應!E:E,"未對應")</f>
        <v>7製造</v>
      </c>
    </row>
    <row r="668" spans="1:8" x14ac:dyDescent="0.4">
      <c r="A668" t="s">
        <v>45</v>
      </c>
      <c r="B668">
        <v>2025</v>
      </c>
      <c r="C668">
        <v>5</v>
      </c>
      <c r="D668" t="s">
        <v>15</v>
      </c>
      <c r="E668" t="s">
        <v>16</v>
      </c>
      <c r="F668">
        <v>604675</v>
      </c>
      <c r="G668" s="3" t="s">
        <v>16</v>
      </c>
      <c r="H668" t="str">
        <f>_xlfn.XLOOKUP(TRIM(D668),對應!D:D,對應!E:E,"未對應")</f>
        <v>7製造</v>
      </c>
    </row>
    <row r="669" spans="1:8" x14ac:dyDescent="0.4">
      <c r="A669" t="s">
        <v>43</v>
      </c>
      <c r="B669">
        <v>2025</v>
      </c>
      <c r="C669">
        <v>1</v>
      </c>
      <c r="D669" t="s">
        <v>32</v>
      </c>
      <c r="E669" t="s">
        <v>16</v>
      </c>
      <c r="F669">
        <v>3445697</v>
      </c>
      <c r="G669" s="3" t="s">
        <v>32</v>
      </c>
      <c r="H669" t="str">
        <f>_xlfn.XLOOKUP(TRIM(D669),對應!D:D,對應!E:E,"未對應")</f>
        <v>5百事益</v>
      </c>
    </row>
    <row r="670" spans="1:8" x14ac:dyDescent="0.4">
      <c r="A670" t="s">
        <v>43</v>
      </c>
      <c r="B670">
        <v>2025</v>
      </c>
      <c r="C670">
        <v>1</v>
      </c>
      <c r="D670" t="s">
        <v>10</v>
      </c>
      <c r="E670" t="s">
        <v>16</v>
      </c>
      <c r="F670">
        <v>1446505</v>
      </c>
      <c r="G670" s="3" t="s">
        <v>16</v>
      </c>
      <c r="H670" t="str">
        <f>_xlfn.XLOOKUP(TRIM(D670),對應!D:D,對應!E:E,"未對應")</f>
        <v>3通路方案</v>
      </c>
    </row>
    <row r="671" spans="1:8" x14ac:dyDescent="0.4">
      <c r="A671" t="s">
        <v>43</v>
      </c>
      <c r="B671">
        <v>2025</v>
      </c>
      <c r="C671">
        <v>1</v>
      </c>
      <c r="D671" t="s">
        <v>17</v>
      </c>
      <c r="E671" t="s">
        <v>18</v>
      </c>
      <c r="F671">
        <v>-29414</v>
      </c>
      <c r="G671" s="3" t="s">
        <v>19</v>
      </c>
      <c r="H671" t="str">
        <f>_xlfn.XLOOKUP(TRIM(D671),對應!D:D,對應!E:E,"未對應")</f>
        <v>4筆電+盈嘉</v>
      </c>
    </row>
    <row r="672" spans="1:8" x14ac:dyDescent="0.4">
      <c r="A672" t="s">
        <v>43</v>
      </c>
      <c r="B672">
        <v>2025</v>
      </c>
      <c r="C672">
        <v>1</v>
      </c>
      <c r="D672" t="s">
        <v>10</v>
      </c>
      <c r="E672" t="s">
        <v>24</v>
      </c>
      <c r="F672">
        <v>17501655</v>
      </c>
      <c r="G672" s="3" t="s">
        <v>14</v>
      </c>
      <c r="H672" t="str">
        <f>_xlfn.XLOOKUP(TRIM(D672),對應!D:D,對應!E:E,"未對應")</f>
        <v>3通路方案</v>
      </c>
    </row>
    <row r="673" spans="1:8" x14ac:dyDescent="0.4">
      <c r="A673" t="s">
        <v>43</v>
      </c>
      <c r="B673">
        <v>2025</v>
      </c>
      <c r="C673">
        <v>1</v>
      </c>
      <c r="D673" t="s">
        <v>10</v>
      </c>
      <c r="E673" t="s">
        <v>27</v>
      </c>
      <c r="F673">
        <v>2862093</v>
      </c>
      <c r="G673" s="3" t="s">
        <v>28</v>
      </c>
      <c r="H673" t="str">
        <f>_xlfn.XLOOKUP(TRIM(D673),對應!D:D,對應!E:E,"未對應")</f>
        <v>3通路方案</v>
      </c>
    </row>
    <row r="674" spans="1:8" x14ac:dyDescent="0.4">
      <c r="A674" t="s">
        <v>43</v>
      </c>
      <c r="B674">
        <v>2025</v>
      </c>
      <c r="C674">
        <v>1</v>
      </c>
      <c r="D674" t="s">
        <v>10</v>
      </c>
      <c r="E674" t="s">
        <v>21</v>
      </c>
      <c r="F674">
        <v>29884297</v>
      </c>
      <c r="G674" s="3" t="s">
        <v>22</v>
      </c>
      <c r="H674" t="str">
        <f>_xlfn.XLOOKUP(TRIM(D674),對應!D:D,對應!E:E,"未對應")</f>
        <v>3通路方案</v>
      </c>
    </row>
    <row r="675" spans="1:8" x14ac:dyDescent="0.4">
      <c r="A675" t="s">
        <v>43</v>
      </c>
      <c r="B675">
        <v>2025</v>
      </c>
      <c r="C675">
        <v>2</v>
      </c>
      <c r="D675" t="s">
        <v>10</v>
      </c>
      <c r="E675" t="s">
        <v>16</v>
      </c>
      <c r="F675">
        <v>21090</v>
      </c>
      <c r="G675" s="3" t="s">
        <v>16</v>
      </c>
      <c r="H675" t="str">
        <f>_xlfn.XLOOKUP(TRIM(D675),對應!D:D,對應!E:E,"未對應")</f>
        <v>3通路方案</v>
      </c>
    </row>
    <row r="676" spans="1:8" x14ac:dyDescent="0.4">
      <c r="A676" t="s">
        <v>43</v>
      </c>
      <c r="B676">
        <v>2025</v>
      </c>
      <c r="C676">
        <v>2</v>
      </c>
      <c r="D676" t="s">
        <v>8</v>
      </c>
      <c r="E676" t="s">
        <v>33</v>
      </c>
      <c r="F676">
        <v>25502385</v>
      </c>
      <c r="G676" s="3" t="s">
        <v>9</v>
      </c>
      <c r="H676" t="str">
        <f>_xlfn.XLOOKUP(TRIM(D676),對應!D:D,對應!E:E,"未對應")</f>
        <v>1網通+技鋼</v>
      </c>
    </row>
    <row r="677" spans="1:8" x14ac:dyDescent="0.4">
      <c r="A677" t="s">
        <v>43</v>
      </c>
      <c r="B677">
        <v>2025</v>
      </c>
      <c r="C677">
        <v>2</v>
      </c>
      <c r="D677" t="s">
        <v>10</v>
      </c>
      <c r="E677" t="s">
        <v>11</v>
      </c>
      <c r="F677">
        <v>703333</v>
      </c>
      <c r="G677" s="3" t="s">
        <v>12</v>
      </c>
      <c r="H677" t="str">
        <f>_xlfn.XLOOKUP(TRIM(D677),對應!D:D,對應!E:E,"未對應")</f>
        <v>3通路方案</v>
      </c>
    </row>
    <row r="678" spans="1:8" x14ac:dyDescent="0.4">
      <c r="A678" t="s">
        <v>43</v>
      </c>
      <c r="B678">
        <v>2025</v>
      </c>
      <c r="C678">
        <v>3</v>
      </c>
      <c r="D678" t="s">
        <v>10</v>
      </c>
      <c r="E678" t="s">
        <v>25</v>
      </c>
      <c r="F678">
        <v>-2157</v>
      </c>
      <c r="G678" s="3" t="s">
        <v>14</v>
      </c>
      <c r="H678" t="str">
        <f>_xlfn.XLOOKUP(TRIM(D678),對應!D:D,對應!E:E,"未對應")</f>
        <v>3通路方案</v>
      </c>
    </row>
    <row r="679" spans="1:8" x14ac:dyDescent="0.4">
      <c r="A679" t="s">
        <v>43</v>
      </c>
      <c r="B679">
        <v>2025</v>
      </c>
      <c r="C679">
        <v>3</v>
      </c>
      <c r="D679" t="s">
        <v>10</v>
      </c>
      <c r="E679" t="s">
        <v>26</v>
      </c>
      <c r="F679">
        <v>-8893</v>
      </c>
      <c r="G679" s="3" t="s">
        <v>14</v>
      </c>
      <c r="H679" t="str">
        <f>_xlfn.XLOOKUP(TRIM(D679),對應!D:D,對應!E:E,"未對應")</f>
        <v>3通路方案</v>
      </c>
    </row>
    <row r="680" spans="1:8" x14ac:dyDescent="0.4">
      <c r="A680" t="s">
        <v>43</v>
      </c>
      <c r="B680">
        <v>2025</v>
      </c>
      <c r="C680">
        <v>4</v>
      </c>
      <c r="D680" t="s">
        <v>8</v>
      </c>
      <c r="E680" t="s">
        <v>33</v>
      </c>
      <c r="F680">
        <v>-33298</v>
      </c>
      <c r="G680" s="3" t="s">
        <v>9</v>
      </c>
      <c r="H680" t="str">
        <f>_xlfn.XLOOKUP(TRIM(D680),對應!D:D,對應!E:E,"未對應")</f>
        <v>1網通+技鋼</v>
      </c>
    </row>
    <row r="681" spans="1:8" x14ac:dyDescent="0.4">
      <c r="A681" t="s">
        <v>43</v>
      </c>
      <c r="B681">
        <v>2025</v>
      </c>
      <c r="C681">
        <v>4</v>
      </c>
      <c r="D681" t="s">
        <v>8</v>
      </c>
      <c r="E681" t="s">
        <v>33</v>
      </c>
      <c r="F681">
        <v>29173</v>
      </c>
      <c r="G681" s="3" t="s">
        <v>9</v>
      </c>
      <c r="H681" t="str">
        <f>_xlfn.XLOOKUP(TRIM(D681),對應!D:D,對應!E:E,"未對應")</f>
        <v>1網通+技鋼</v>
      </c>
    </row>
    <row r="682" spans="1:8" x14ac:dyDescent="0.4">
      <c r="A682" t="s">
        <v>43</v>
      </c>
      <c r="B682">
        <v>2025</v>
      </c>
      <c r="C682">
        <v>4</v>
      </c>
      <c r="D682" t="s">
        <v>10</v>
      </c>
      <c r="E682" t="s">
        <v>27</v>
      </c>
      <c r="F682">
        <v>3242362</v>
      </c>
      <c r="G682" s="3" t="s">
        <v>28</v>
      </c>
      <c r="H682" t="str">
        <f>_xlfn.XLOOKUP(TRIM(D682),對應!D:D,對應!E:E,"未對應")</f>
        <v>3通路方案</v>
      </c>
    </row>
    <row r="683" spans="1:8" x14ac:dyDescent="0.4">
      <c r="A683" t="s">
        <v>43</v>
      </c>
      <c r="B683">
        <v>2025</v>
      </c>
      <c r="C683">
        <v>4</v>
      </c>
      <c r="D683" t="s">
        <v>10</v>
      </c>
      <c r="E683" t="s">
        <v>21</v>
      </c>
      <c r="F683">
        <v>57037101</v>
      </c>
      <c r="G683" s="3" t="s">
        <v>22</v>
      </c>
      <c r="H683" t="str">
        <f>_xlfn.XLOOKUP(TRIM(D683),對應!D:D,對應!E:E,"未對應")</f>
        <v>3通路方案</v>
      </c>
    </row>
    <row r="684" spans="1:8" x14ac:dyDescent="0.4">
      <c r="A684" t="s">
        <v>43</v>
      </c>
      <c r="B684">
        <v>2025</v>
      </c>
      <c r="C684">
        <v>4</v>
      </c>
      <c r="D684" t="s">
        <v>8</v>
      </c>
      <c r="E684" t="s">
        <v>33</v>
      </c>
      <c r="F684">
        <v>5414747</v>
      </c>
      <c r="G684" s="3" t="s">
        <v>9</v>
      </c>
      <c r="H684" t="str">
        <f>_xlfn.XLOOKUP(TRIM(D684),對應!D:D,對應!E:E,"未對應")</f>
        <v>1網通+技鋼</v>
      </c>
    </row>
    <row r="685" spans="1:8" x14ac:dyDescent="0.4">
      <c r="A685" t="s">
        <v>43</v>
      </c>
      <c r="B685">
        <v>2025</v>
      </c>
      <c r="C685">
        <v>5</v>
      </c>
      <c r="D685" t="s">
        <v>8</v>
      </c>
      <c r="E685" t="s">
        <v>33</v>
      </c>
      <c r="F685">
        <v>24268198</v>
      </c>
      <c r="G685" s="3" t="s">
        <v>9</v>
      </c>
      <c r="H685" t="str">
        <f>_xlfn.XLOOKUP(TRIM(D685),對應!D:D,對應!E:E,"未對應")</f>
        <v>1網通+技鋼</v>
      </c>
    </row>
    <row r="686" spans="1:8" x14ac:dyDescent="0.4">
      <c r="A686" t="s">
        <v>43</v>
      </c>
      <c r="B686">
        <v>2025</v>
      </c>
      <c r="C686">
        <v>5</v>
      </c>
      <c r="D686" t="s">
        <v>10</v>
      </c>
      <c r="E686" t="s">
        <v>16</v>
      </c>
      <c r="F686">
        <v>23580679</v>
      </c>
      <c r="G686" s="3" t="s">
        <v>16</v>
      </c>
      <c r="H686" t="str">
        <f>_xlfn.XLOOKUP(TRIM(D686),對應!D:D,對應!E:E,"未對應")</f>
        <v>3通路方案</v>
      </c>
    </row>
    <row r="687" spans="1:8" x14ac:dyDescent="0.4">
      <c r="A687" t="s">
        <v>43</v>
      </c>
      <c r="B687">
        <v>2025</v>
      </c>
      <c r="C687">
        <v>5</v>
      </c>
      <c r="D687" t="s">
        <v>10</v>
      </c>
      <c r="E687" t="s">
        <v>30</v>
      </c>
      <c r="F687">
        <v>84609</v>
      </c>
      <c r="G687" s="3" t="s">
        <v>12</v>
      </c>
      <c r="H687" t="str">
        <f>_xlfn.XLOOKUP(TRIM(D687),對應!D:D,對應!E:E,"未對應")</f>
        <v>3通路方案</v>
      </c>
    </row>
    <row r="688" spans="1:8" x14ac:dyDescent="0.4">
      <c r="A688" t="s">
        <v>43</v>
      </c>
      <c r="B688">
        <v>2025</v>
      </c>
      <c r="C688">
        <v>5</v>
      </c>
      <c r="D688" t="s">
        <v>10</v>
      </c>
      <c r="E688" t="s">
        <v>11</v>
      </c>
      <c r="F688">
        <v>3190225</v>
      </c>
      <c r="G688" s="3" t="s">
        <v>12</v>
      </c>
      <c r="H688" t="str">
        <f>_xlfn.XLOOKUP(TRIM(D688),對應!D:D,對應!E:E,"未對應")</f>
        <v>3通路方案</v>
      </c>
    </row>
    <row r="689" spans="1:8" x14ac:dyDescent="0.4">
      <c r="A689" t="s">
        <v>43</v>
      </c>
      <c r="B689">
        <v>2025</v>
      </c>
      <c r="C689">
        <v>6</v>
      </c>
      <c r="D689" t="s">
        <v>10</v>
      </c>
      <c r="E689" t="s">
        <v>25</v>
      </c>
      <c r="F689">
        <v>15998</v>
      </c>
      <c r="G689" s="3" t="s">
        <v>14</v>
      </c>
      <c r="H689" t="str">
        <f>_xlfn.XLOOKUP(TRIM(D689),對應!D:D,對應!E:E,"未對應")</f>
        <v>3通路方案</v>
      </c>
    </row>
    <row r="690" spans="1:8" x14ac:dyDescent="0.4">
      <c r="A690" t="s">
        <v>43</v>
      </c>
      <c r="B690">
        <v>2025</v>
      </c>
      <c r="C690">
        <v>6</v>
      </c>
      <c r="D690" t="s">
        <v>10</v>
      </c>
      <c r="E690" t="s">
        <v>26</v>
      </c>
      <c r="F690">
        <v>63392</v>
      </c>
      <c r="G690" s="3" t="s">
        <v>14</v>
      </c>
      <c r="H690" t="str">
        <f>_xlfn.XLOOKUP(TRIM(D690),對應!D:D,對應!E:E,"未對應")</f>
        <v>3通路方案</v>
      </c>
    </row>
    <row r="691" spans="1:8" x14ac:dyDescent="0.4">
      <c r="A691" t="s">
        <v>43</v>
      </c>
      <c r="B691">
        <v>2025</v>
      </c>
      <c r="C691">
        <v>1</v>
      </c>
      <c r="D691" t="s">
        <v>10</v>
      </c>
      <c r="E691" t="s">
        <v>21</v>
      </c>
      <c r="F691">
        <v>1327904910</v>
      </c>
      <c r="G691" s="3" t="s">
        <v>22</v>
      </c>
      <c r="H691" t="str">
        <f>_xlfn.XLOOKUP(TRIM(D691),對應!D:D,對應!E:E,"未對應")</f>
        <v>3通路方案</v>
      </c>
    </row>
    <row r="692" spans="1:8" x14ac:dyDescent="0.4">
      <c r="A692" t="s">
        <v>23</v>
      </c>
      <c r="B692">
        <v>2025</v>
      </c>
      <c r="C692">
        <v>5</v>
      </c>
      <c r="D692" t="s">
        <v>10</v>
      </c>
      <c r="E692" t="s">
        <v>21</v>
      </c>
      <c r="F692">
        <v>-51871256</v>
      </c>
      <c r="G692" s="3" t="s">
        <v>22</v>
      </c>
      <c r="H692" t="str">
        <f>_xlfn.XLOOKUP(TRIM(D692),對應!D:D,對應!E:E,"未對應")</f>
        <v>3通路方案</v>
      </c>
    </row>
    <row r="693" spans="1:8" x14ac:dyDescent="0.4">
      <c r="A693" t="s">
        <v>23</v>
      </c>
      <c r="B693">
        <v>2025</v>
      </c>
      <c r="C693">
        <v>6</v>
      </c>
      <c r="D693" t="s">
        <v>10</v>
      </c>
      <c r="E693" t="s">
        <v>20</v>
      </c>
      <c r="F693">
        <v>-178218</v>
      </c>
      <c r="G693" s="3" t="s">
        <v>12</v>
      </c>
      <c r="H693" t="str">
        <f>_xlfn.XLOOKUP(TRIM(D693),對應!D:D,對應!E:E,"未對應")</f>
        <v>3通路方案</v>
      </c>
    </row>
    <row r="694" spans="1:8" x14ac:dyDescent="0.4">
      <c r="A694" t="s">
        <v>23</v>
      </c>
      <c r="B694">
        <v>2025</v>
      </c>
      <c r="C694">
        <v>6</v>
      </c>
      <c r="D694" t="s">
        <v>10</v>
      </c>
      <c r="E694" t="s">
        <v>21</v>
      </c>
      <c r="F694">
        <v>-1315238252</v>
      </c>
      <c r="G694" s="3" t="s">
        <v>22</v>
      </c>
      <c r="H694" t="str">
        <f>_xlfn.XLOOKUP(TRIM(D694),對應!D:D,對應!E:E,"未對應")</f>
        <v>3通路方案</v>
      </c>
    </row>
    <row r="695" spans="1:8" x14ac:dyDescent="0.4">
      <c r="A695" t="s">
        <v>23</v>
      </c>
      <c r="B695">
        <v>2025</v>
      </c>
      <c r="C695">
        <v>6</v>
      </c>
      <c r="D695" t="s">
        <v>10</v>
      </c>
      <c r="E695" t="s">
        <v>11</v>
      </c>
      <c r="F695">
        <v>-2984847</v>
      </c>
      <c r="G695" s="3" t="s">
        <v>12</v>
      </c>
      <c r="H695" t="str">
        <f>_xlfn.XLOOKUP(TRIM(D695),對應!D:D,對應!E:E,"未對應")</f>
        <v>3通路方案</v>
      </c>
    </row>
    <row r="696" spans="1:8" x14ac:dyDescent="0.4">
      <c r="A696" t="s">
        <v>44</v>
      </c>
      <c r="B696">
        <v>2025</v>
      </c>
      <c r="C696">
        <v>2</v>
      </c>
      <c r="D696" t="s">
        <v>32</v>
      </c>
      <c r="F696">
        <v>14774426</v>
      </c>
      <c r="G696" s="3" t="s">
        <v>32</v>
      </c>
      <c r="H696" t="str">
        <f>_xlfn.XLOOKUP(TRIM(D696),對應!D:D,對應!E:E,"未對應")</f>
        <v>5百事益</v>
      </c>
    </row>
    <row r="697" spans="1:8" x14ac:dyDescent="0.4">
      <c r="A697" t="s">
        <v>44</v>
      </c>
      <c r="B697">
        <v>2025</v>
      </c>
      <c r="C697">
        <v>5</v>
      </c>
      <c r="D697" t="s">
        <v>32</v>
      </c>
      <c r="F697">
        <v>15348804</v>
      </c>
      <c r="G697" s="3" t="s">
        <v>32</v>
      </c>
      <c r="H697" t="str">
        <f>_xlfn.XLOOKUP(TRIM(D697),對應!D:D,對應!E:E,"未對應")</f>
        <v>5百事益</v>
      </c>
    </row>
    <row r="698" spans="1:8" x14ac:dyDescent="0.4">
      <c r="A698" t="s">
        <v>44</v>
      </c>
      <c r="B698">
        <v>2025</v>
      </c>
      <c r="C698">
        <v>6</v>
      </c>
      <c r="D698" t="s">
        <v>32</v>
      </c>
      <c r="F698">
        <v>1074794</v>
      </c>
      <c r="G698" s="3" t="s">
        <v>32</v>
      </c>
      <c r="H698" t="str">
        <f>_xlfn.XLOOKUP(TRIM(D698),對應!D:D,對應!E:E,"未對應")</f>
        <v>5百事益</v>
      </c>
    </row>
    <row r="699" spans="1:8" x14ac:dyDescent="0.4">
      <c r="A699" t="s">
        <v>45</v>
      </c>
      <c r="B699">
        <v>2025</v>
      </c>
      <c r="C699">
        <v>3</v>
      </c>
      <c r="D699" t="s">
        <v>15</v>
      </c>
      <c r="E699" t="s">
        <v>16</v>
      </c>
      <c r="F699">
        <v>888857</v>
      </c>
      <c r="G699" s="3" t="s">
        <v>16</v>
      </c>
      <c r="H699" t="str">
        <f>_xlfn.XLOOKUP(TRIM(D699),對應!D:D,對應!E:E,"未對應")</f>
        <v>7製造</v>
      </c>
    </row>
    <row r="700" spans="1:8" x14ac:dyDescent="0.4">
      <c r="A700" t="s">
        <v>36</v>
      </c>
      <c r="B700">
        <v>2025</v>
      </c>
      <c r="C700">
        <v>2</v>
      </c>
      <c r="D700" t="s">
        <v>39</v>
      </c>
      <c r="E700" t="s">
        <v>40</v>
      </c>
      <c r="F700">
        <v>136388531</v>
      </c>
      <c r="G700" s="3" t="s">
        <v>42</v>
      </c>
      <c r="H700" t="str">
        <f>_xlfn.XLOOKUP(TRIM(D700),對應!D:D,對應!E:E,"未對應")</f>
        <v>2技宸</v>
      </c>
    </row>
    <row r="701" spans="1:8" x14ac:dyDescent="0.4">
      <c r="A701" t="s">
        <v>36</v>
      </c>
      <c r="B701">
        <v>2025</v>
      </c>
      <c r="C701">
        <v>2</v>
      </c>
      <c r="D701" t="s">
        <v>8</v>
      </c>
      <c r="E701" t="s">
        <v>33</v>
      </c>
      <c r="F701">
        <v>12901120644</v>
      </c>
      <c r="G701" s="3" t="s">
        <v>9</v>
      </c>
      <c r="H701" t="str">
        <f>_xlfn.XLOOKUP(TRIM(D701),對應!D:D,對應!E:E,"未對應")</f>
        <v>1網通+技鋼</v>
      </c>
    </row>
    <row r="702" spans="1:8" x14ac:dyDescent="0.4">
      <c r="A702" t="s">
        <v>36</v>
      </c>
      <c r="B702">
        <v>2025</v>
      </c>
      <c r="C702">
        <v>3</v>
      </c>
      <c r="D702" t="s">
        <v>15</v>
      </c>
      <c r="E702" t="s">
        <v>16</v>
      </c>
      <c r="F702">
        <v>10610885</v>
      </c>
      <c r="G702" s="3" t="s">
        <v>16</v>
      </c>
      <c r="H702" t="str">
        <f>_xlfn.XLOOKUP(TRIM(D702),對應!D:D,對應!E:E,"未對應")</f>
        <v>7製造</v>
      </c>
    </row>
    <row r="703" spans="1:8" x14ac:dyDescent="0.4">
      <c r="A703" t="s">
        <v>36</v>
      </c>
      <c r="B703">
        <v>2025</v>
      </c>
      <c r="C703">
        <v>5</v>
      </c>
      <c r="D703" t="s">
        <v>39</v>
      </c>
      <c r="E703" t="s">
        <v>40</v>
      </c>
      <c r="F703">
        <v>129160100</v>
      </c>
      <c r="G703" s="3" t="s">
        <v>42</v>
      </c>
      <c r="H703" t="str">
        <f>_xlfn.XLOOKUP(TRIM(D703),對應!D:D,對應!E:E,"未對應")</f>
        <v>2技宸</v>
      </c>
    </row>
    <row r="704" spans="1:8" x14ac:dyDescent="0.4">
      <c r="A704" t="s">
        <v>36</v>
      </c>
      <c r="B704">
        <v>2025</v>
      </c>
      <c r="C704">
        <v>5</v>
      </c>
      <c r="D704" t="s">
        <v>8</v>
      </c>
      <c r="E704" t="s">
        <v>33</v>
      </c>
      <c r="F704">
        <v>35590789862</v>
      </c>
      <c r="G704" s="3" t="s">
        <v>9</v>
      </c>
      <c r="H704" t="str">
        <f>_xlfn.XLOOKUP(TRIM(D704),對應!D:D,對應!E:E,"未對應")</f>
        <v>1網通+技鋼</v>
      </c>
    </row>
    <row r="705" spans="1:8" x14ac:dyDescent="0.4">
      <c r="A705" t="s">
        <v>41</v>
      </c>
      <c r="B705">
        <v>2025</v>
      </c>
      <c r="C705">
        <v>3</v>
      </c>
      <c r="D705" t="s">
        <v>8</v>
      </c>
      <c r="E705" t="s">
        <v>33</v>
      </c>
      <c r="F705">
        <v>-185718517</v>
      </c>
      <c r="G705" s="3" t="s">
        <v>9</v>
      </c>
      <c r="H705" t="str">
        <f>_xlfn.XLOOKUP(TRIM(D705),對應!D:D,對應!E:E,"未對應")</f>
        <v>1網通+技鋼</v>
      </c>
    </row>
    <row r="706" spans="1:8" x14ac:dyDescent="0.4">
      <c r="A706" t="s">
        <v>41</v>
      </c>
      <c r="B706">
        <v>2025</v>
      </c>
      <c r="C706">
        <v>3</v>
      </c>
      <c r="D706" t="s">
        <v>17</v>
      </c>
      <c r="E706" t="s">
        <v>18</v>
      </c>
      <c r="F706">
        <v>-86403936</v>
      </c>
      <c r="G706" s="3" t="s">
        <v>19</v>
      </c>
      <c r="H706" t="str">
        <f>_xlfn.XLOOKUP(TRIM(D706),對應!D:D,對應!E:E,"未對應")</f>
        <v>4筆電+盈嘉</v>
      </c>
    </row>
    <row r="707" spans="1:8" x14ac:dyDescent="0.4">
      <c r="A707" t="s">
        <v>41</v>
      </c>
      <c r="B707">
        <v>2025</v>
      </c>
      <c r="C707">
        <v>3</v>
      </c>
      <c r="D707" t="s">
        <v>37</v>
      </c>
      <c r="E707" t="s">
        <v>16</v>
      </c>
      <c r="F707">
        <v>-20000</v>
      </c>
      <c r="G707" s="3" t="s">
        <v>37</v>
      </c>
      <c r="H707" t="str">
        <f>_xlfn.XLOOKUP(TRIM(D707),對應!D:D,對應!E:E,"未對應")</f>
        <v>6雲城</v>
      </c>
    </row>
    <row r="708" spans="1:8" x14ac:dyDescent="0.4">
      <c r="A708" t="s">
        <v>41</v>
      </c>
      <c r="B708">
        <v>2025</v>
      </c>
      <c r="C708">
        <v>4</v>
      </c>
      <c r="D708" t="s">
        <v>32</v>
      </c>
      <c r="E708" t="s">
        <v>16</v>
      </c>
      <c r="F708">
        <v>-10140389</v>
      </c>
      <c r="G708" s="3" t="s">
        <v>32</v>
      </c>
      <c r="H708" t="str">
        <f>_xlfn.XLOOKUP(TRIM(D708),對應!D:D,對應!E:E,"未對應")</f>
        <v>5百事益</v>
      </c>
    </row>
    <row r="709" spans="1:8" x14ac:dyDescent="0.4">
      <c r="A709" t="s">
        <v>41</v>
      </c>
      <c r="B709">
        <v>2025</v>
      </c>
      <c r="C709">
        <v>4</v>
      </c>
      <c r="D709" t="s">
        <v>8</v>
      </c>
      <c r="E709" t="s">
        <v>33</v>
      </c>
      <c r="F709">
        <v>-32312584</v>
      </c>
      <c r="G709" s="3" t="s">
        <v>9</v>
      </c>
      <c r="H709" t="str">
        <f>_xlfn.XLOOKUP(TRIM(D709),對應!D:D,對應!E:E,"未對應")</f>
        <v>1網通+技鋼</v>
      </c>
    </row>
    <row r="710" spans="1:8" x14ac:dyDescent="0.4">
      <c r="A710" t="s">
        <v>41</v>
      </c>
      <c r="B710">
        <v>2025</v>
      </c>
      <c r="C710">
        <v>6</v>
      </c>
      <c r="D710" t="s">
        <v>32</v>
      </c>
      <c r="E710" t="s">
        <v>16</v>
      </c>
      <c r="F710">
        <v>-17828</v>
      </c>
      <c r="G710" s="3" t="s">
        <v>32</v>
      </c>
      <c r="H710" t="str">
        <f>_xlfn.XLOOKUP(TRIM(D710),對應!D:D,對應!E:E,"未對應")</f>
        <v>5百事益</v>
      </c>
    </row>
    <row r="711" spans="1:8" x14ac:dyDescent="0.4">
      <c r="A711" t="s">
        <v>41</v>
      </c>
      <c r="B711">
        <v>2025</v>
      </c>
      <c r="C711">
        <v>6</v>
      </c>
      <c r="D711" t="s">
        <v>8</v>
      </c>
      <c r="E711" t="s">
        <v>33</v>
      </c>
      <c r="F711">
        <v>-7510841</v>
      </c>
      <c r="G711" s="3" t="s">
        <v>9</v>
      </c>
      <c r="H711" t="str">
        <f>_xlfn.XLOOKUP(TRIM(D711),對應!D:D,對應!E:E,"未對應")</f>
        <v>1網通+技鋼</v>
      </c>
    </row>
    <row r="712" spans="1:8" x14ac:dyDescent="0.4">
      <c r="A712" t="s">
        <v>41</v>
      </c>
      <c r="B712">
        <v>2025</v>
      </c>
      <c r="C712">
        <v>6</v>
      </c>
      <c r="D712" t="s">
        <v>17</v>
      </c>
      <c r="E712" t="s">
        <v>18</v>
      </c>
      <c r="F712">
        <v>-1128590199</v>
      </c>
      <c r="G712" s="3" t="s">
        <v>19</v>
      </c>
      <c r="H712" t="str">
        <f>_xlfn.XLOOKUP(TRIM(D712),對應!D:D,對應!E:E,"未對應")</f>
        <v>4筆電+盈嘉</v>
      </c>
    </row>
    <row r="713" spans="1:8" x14ac:dyDescent="0.4">
      <c r="A713" t="s">
        <v>43</v>
      </c>
      <c r="B713">
        <v>2025</v>
      </c>
      <c r="C713">
        <v>1</v>
      </c>
      <c r="D713" t="s">
        <v>10</v>
      </c>
      <c r="E713" t="s">
        <v>25</v>
      </c>
      <c r="F713">
        <v>155799</v>
      </c>
      <c r="G713" s="3" t="s">
        <v>14</v>
      </c>
      <c r="H713" t="str">
        <f>_xlfn.XLOOKUP(TRIM(D713),對應!D:D,對應!E:E,"未對應")</f>
        <v>3通路方案</v>
      </c>
    </row>
    <row r="714" spans="1:8" x14ac:dyDescent="0.4">
      <c r="A714" t="s">
        <v>43</v>
      </c>
      <c r="B714">
        <v>2025</v>
      </c>
      <c r="C714">
        <v>1</v>
      </c>
      <c r="D714" t="s">
        <v>10</v>
      </c>
      <c r="E714" t="s">
        <v>27</v>
      </c>
      <c r="F714">
        <v>16215388</v>
      </c>
      <c r="G714" s="3" t="s">
        <v>28</v>
      </c>
      <c r="H714" t="str">
        <f>_xlfn.XLOOKUP(TRIM(D714),對應!D:D,對應!E:E,"未對應")</f>
        <v>3通路方案</v>
      </c>
    </row>
    <row r="715" spans="1:8" x14ac:dyDescent="0.4">
      <c r="A715" t="s">
        <v>43</v>
      </c>
      <c r="B715">
        <v>2025</v>
      </c>
      <c r="C715">
        <v>1</v>
      </c>
      <c r="D715" t="s">
        <v>17</v>
      </c>
      <c r="E715" t="s">
        <v>18</v>
      </c>
      <c r="F715">
        <v>135632416</v>
      </c>
      <c r="G715" s="3" t="s">
        <v>19</v>
      </c>
      <c r="H715" t="str">
        <f>_xlfn.XLOOKUP(TRIM(D715),對應!D:D,對應!E:E,"未對應")</f>
        <v>4筆電+盈嘉</v>
      </c>
    </row>
    <row r="716" spans="1:8" x14ac:dyDescent="0.4">
      <c r="A716" t="s">
        <v>43</v>
      </c>
      <c r="B716">
        <v>2025</v>
      </c>
      <c r="C716">
        <v>1</v>
      </c>
      <c r="D716" t="s">
        <v>10</v>
      </c>
      <c r="E716" t="s">
        <v>24</v>
      </c>
      <c r="F716">
        <v>704778599</v>
      </c>
      <c r="G716" s="3" t="s">
        <v>14</v>
      </c>
      <c r="H716" t="str">
        <f>_xlfn.XLOOKUP(TRIM(D716),對應!D:D,對應!E:E,"未對應")</f>
        <v>3通路方案</v>
      </c>
    </row>
    <row r="717" spans="1:8" x14ac:dyDescent="0.4">
      <c r="A717" t="s">
        <v>43</v>
      </c>
      <c r="B717">
        <v>2025</v>
      </c>
      <c r="C717">
        <v>1</v>
      </c>
      <c r="D717" t="s">
        <v>10</v>
      </c>
      <c r="E717" t="s">
        <v>30</v>
      </c>
      <c r="F717">
        <v>760478</v>
      </c>
      <c r="G717" s="3" t="s">
        <v>12</v>
      </c>
      <c r="H717" t="str">
        <f>_xlfn.XLOOKUP(TRIM(D717),對應!D:D,對應!E:E,"未對應")</f>
        <v>3通路方案</v>
      </c>
    </row>
    <row r="718" spans="1:8" x14ac:dyDescent="0.4">
      <c r="A718" t="s">
        <v>43</v>
      </c>
      <c r="B718">
        <v>2025</v>
      </c>
      <c r="C718">
        <v>2</v>
      </c>
      <c r="D718" t="s">
        <v>10</v>
      </c>
      <c r="E718" t="s">
        <v>11</v>
      </c>
      <c r="F718">
        <v>22551579</v>
      </c>
      <c r="G718" s="3" t="s">
        <v>12</v>
      </c>
      <c r="H718" t="str">
        <f>_xlfn.XLOOKUP(TRIM(D718),對應!D:D,對應!E:E,"未對應")</f>
        <v>3通路方案</v>
      </c>
    </row>
    <row r="719" spans="1:8" x14ac:dyDescent="0.4">
      <c r="A719" t="s">
        <v>43</v>
      </c>
      <c r="B719">
        <v>2025</v>
      </c>
      <c r="C719">
        <v>2</v>
      </c>
      <c r="D719" t="s">
        <v>10</v>
      </c>
      <c r="E719" t="s">
        <v>13</v>
      </c>
      <c r="F719">
        <v>63999</v>
      </c>
      <c r="G719" s="3" t="s">
        <v>14</v>
      </c>
      <c r="H719" t="str">
        <f>_xlfn.XLOOKUP(TRIM(D719),對應!D:D,對應!E:E,"未對應")</f>
        <v>3通路方案</v>
      </c>
    </row>
    <row r="720" spans="1:8" x14ac:dyDescent="0.4">
      <c r="A720" t="s">
        <v>43</v>
      </c>
      <c r="B720">
        <v>2025</v>
      </c>
      <c r="C720">
        <v>2</v>
      </c>
      <c r="D720" t="s">
        <v>10</v>
      </c>
      <c r="E720" t="s">
        <v>21</v>
      </c>
      <c r="F720">
        <v>45665223</v>
      </c>
      <c r="G720" s="3" t="s">
        <v>22</v>
      </c>
      <c r="H720" t="str">
        <f>_xlfn.XLOOKUP(TRIM(D720),對應!D:D,對應!E:E,"未對應")</f>
        <v>3通路方案</v>
      </c>
    </row>
    <row r="721" spans="1:8" x14ac:dyDescent="0.4">
      <c r="A721" t="s">
        <v>43</v>
      </c>
      <c r="B721">
        <v>2025</v>
      </c>
      <c r="C721">
        <v>3</v>
      </c>
      <c r="D721" t="s">
        <v>32</v>
      </c>
      <c r="E721" t="s">
        <v>16</v>
      </c>
      <c r="F721">
        <v>8579526</v>
      </c>
      <c r="G721" s="3" t="s">
        <v>32</v>
      </c>
      <c r="H721" t="str">
        <f>_xlfn.XLOOKUP(TRIM(D721),對應!D:D,對應!E:E,"未對應")</f>
        <v>5百事益</v>
      </c>
    </row>
    <row r="722" spans="1:8" x14ac:dyDescent="0.4">
      <c r="A722" t="s">
        <v>43</v>
      </c>
      <c r="B722">
        <v>2025</v>
      </c>
      <c r="C722">
        <v>3</v>
      </c>
      <c r="D722" t="s">
        <v>10</v>
      </c>
      <c r="E722" t="s">
        <v>21</v>
      </c>
      <c r="F722">
        <v>2067032134</v>
      </c>
      <c r="G722" s="3" t="s">
        <v>22</v>
      </c>
      <c r="H722" t="str">
        <f>_xlfn.XLOOKUP(TRIM(D722),對應!D:D,對應!E:E,"未對應")</f>
        <v>3通路方案</v>
      </c>
    </row>
    <row r="723" spans="1:8" x14ac:dyDescent="0.4">
      <c r="A723" t="s">
        <v>43</v>
      </c>
      <c r="B723">
        <v>2025</v>
      </c>
      <c r="C723">
        <v>3</v>
      </c>
      <c r="D723" t="s">
        <v>8</v>
      </c>
      <c r="E723" t="s">
        <v>33</v>
      </c>
      <c r="F723">
        <v>4586057</v>
      </c>
      <c r="G723" s="3" t="s">
        <v>9</v>
      </c>
      <c r="H723" t="str">
        <f>_xlfn.XLOOKUP(TRIM(D723),對應!D:D,對應!E:E,"未對應")</f>
        <v>1網通+技鋼</v>
      </c>
    </row>
    <row r="724" spans="1:8" x14ac:dyDescent="0.4">
      <c r="A724" t="s">
        <v>43</v>
      </c>
      <c r="B724">
        <v>2025</v>
      </c>
      <c r="C724">
        <v>3</v>
      </c>
      <c r="D724" t="s">
        <v>8</v>
      </c>
      <c r="E724" t="s">
        <v>33</v>
      </c>
      <c r="F724">
        <v>115095163</v>
      </c>
      <c r="G724" s="3" t="s">
        <v>9</v>
      </c>
      <c r="H724" t="str">
        <f>_xlfn.XLOOKUP(TRIM(D724),對應!D:D,對應!E:E,"未對應")</f>
        <v>1網通+技鋼</v>
      </c>
    </row>
    <row r="725" spans="1:8" x14ac:dyDescent="0.4">
      <c r="A725" t="s">
        <v>43</v>
      </c>
      <c r="B725">
        <v>2025</v>
      </c>
      <c r="C725">
        <v>1</v>
      </c>
      <c r="D725" t="s">
        <v>10</v>
      </c>
      <c r="E725" t="s">
        <v>25</v>
      </c>
      <c r="F725">
        <v>-169620</v>
      </c>
      <c r="G725" s="3" t="s">
        <v>14</v>
      </c>
      <c r="H725" t="str">
        <f>_xlfn.XLOOKUP(TRIM(D725),對應!D:D,對應!E:E,"未對應")</f>
        <v>3通路方案</v>
      </c>
    </row>
    <row r="726" spans="1:8" x14ac:dyDescent="0.4">
      <c r="A726" t="s">
        <v>43</v>
      </c>
      <c r="B726">
        <v>2025</v>
      </c>
      <c r="C726">
        <v>1</v>
      </c>
      <c r="D726" t="s">
        <v>10</v>
      </c>
      <c r="E726" t="s">
        <v>21</v>
      </c>
      <c r="F726">
        <v>781713313</v>
      </c>
      <c r="G726" s="3" t="s">
        <v>22</v>
      </c>
      <c r="H726" t="str">
        <f>_xlfn.XLOOKUP(TRIM(D726),對應!D:D,對應!E:E,"未對應")</f>
        <v>3通路方案</v>
      </c>
    </row>
    <row r="727" spans="1:8" x14ac:dyDescent="0.4">
      <c r="A727" t="s">
        <v>43</v>
      </c>
      <c r="B727">
        <v>2025</v>
      </c>
      <c r="C727">
        <v>2</v>
      </c>
      <c r="D727" t="s">
        <v>32</v>
      </c>
      <c r="E727" t="s">
        <v>16</v>
      </c>
      <c r="F727">
        <v>124755</v>
      </c>
      <c r="G727" s="3" t="s">
        <v>32</v>
      </c>
      <c r="H727" t="str">
        <f>_xlfn.XLOOKUP(TRIM(D727),對應!D:D,對應!E:E,"未對應")</f>
        <v>5百事益</v>
      </c>
    </row>
    <row r="728" spans="1:8" x14ac:dyDescent="0.4">
      <c r="A728" t="s">
        <v>43</v>
      </c>
      <c r="B728">
        <v>2025</v>
      </c>
      <c r="C728">
        <v>2</v>
      </c>
      <c r="D728" t="s">
        <v>10</v>
      </c>
      <c r="E728" t="s">
        <v>24</v>
      </c>
      <c r="F728">
        <v>749570577</v>
      </c>
      <c r="G728" s="3" t="s">
        <v>14</v>
      </c>
      <c r="H728" t="str">
        <f>_xlfn.XLOOKUP(TRIM(D728),對應!D:D,對應!E:E,"未對應")</f>
        <v>3通路方案</v>
      </c>
    </row>
    <row r="729" spans="1:8" x14ac:dyDescent="0.4">
      <c r="A729" t="s">
        <v>43</v>
      </c>
      <c r="B729">
        <v>2025</v>
      </c>
      <c r="C729">
        <v>2</v>
      </c>
      <c r="D729" t="s">
        <v>10</v>
      </c>
      <c r="E729" t="s">
        <v>25</v>
      </c>
      <c r="F729">
        <v>273974</v>
      </c>
      <c r="G729" s="3" t="s">
        <v>14</v>
      </c>
      <c r="H729" t="str">
        <f>_xlfn.XLOOKUP(TRIM(D729),對應!D:D,對應!E:E,"未對應")</f>
        <v>3通路方案</v>
      </c>
    </row>
    <row r="730" spans="1:8" x14ac:dyDescent="0.4">
      <c r="A730" t="s">
        <v>43</v>
      </c>
      <c r="B730">
        <v>2025</v>
      </c>
      <c r="C730">
        <v>2</v>
      </c>
      <c r="D730" t="s">
        <v>10</v>
      </c>
      <c r="E730" t="s">
        <v>21</v>
      </c>
      <c r="F730">
        <v>1610394203</v>
      </c>
      <c r="G730" s="3" t="s">
        <v>22</v>
      </c>
      <c r="H730" t="str">
        <f>_xlfn.XLOOKUP(TRIM(D730),對應!D:D,對應!E:E,"未對應")</f>
        <v>3通路方案</v>
      </c>
    </row>
    <row r="731" spans="1:8" x14ac:dyDescent="0.4">
      <c r="A731" t="s">
        <v>43</v>
      </c>
      <c r="B731">
        <v>2025</v>
      </c>
      <c r="C731">
        <v>2</v>
      </c>
      <c r="D731" t="s">
        <v>32</v>
      </c>
      <c r="E731" t="s">
        <v>16</v>
      </c>
      <c r="F731">
        <v>8682526</v>
      </c>
      <c r="G731" s="3" t="s">
        <v>32</v>
      </c>
      <c r="H731" t="str">
        <f>_xlfn.XLOOKUP(TRIM(D731),對應!D:D,對應!E:E,"未對應")</f>
        <v>5百事益</v>
      </c>
    </row>
    <row r="732" spans="1:8" x14ac:dyDescent="0.4">
      <c r="A732" t="s">
        <v>43</v>
      </c>
      <c r="B732">
        <v>2025</v>
      </c>
      <c r="C732">
        <v>2</v>
      </c>
      <c r="D732" t="s">
        <v>17</v>
      </c>
      <c r="E732" t="s">
        <v>18</v>
      </c>
      <c r="F732">
        <v>100000256</v>
      </c>
      <c r="G732" s="3" t="s">
        <v>19</v>
      </c>
      <c r="H732" t="str">
        <f>_xlfn.XLOOKUP(TRIM(D732),對應!D:D,對應!E:E,"未對應")</f>
        <v>4筆電+盈嘉</v>
      </c>
    </row>
    <row r="733" spans="1:8" x14ac:dyDescent="0.4">
      <c r="A733" t="s">
        <v>43</v>
      </c>
      <c r="B733">
        <v>2025</v>
      </c>
      <c r="C733">
        <v>2</v>
      </c>
      <c r="D733" t="s">
        <v>10</v>
      </c>
      <c r="E733" t="s">
        <v>13</v>
      </c>
      <c r="F733">
        <v>-9354</v>
      </c>
      <c r="G733" s="3" t="s">
        <v>14</v>
      </c>
      <c r="H733" t="str">
        <f>_xlfn.XLOOKUP(TRIM(D733),對應!D:D,對應!E:E,"未對應")</f>
        <v>3通路方案</v>
      </c>
    </row>
    <row r="734" spans="1:8" x14ac:dyDescent="0.4">
      <c r="A734" t="s">
        <v>7</v>
      </c>
      <c r="B734">
        <v>2025</v>
      </c>
      <c r="C734">
        <v>7</v>
      </c>
      <c r="D734" t="s">
        <v>15</v>
      </c>
      <c r="E734" t="s">
        <v>16</v>
      </c>
      <c r="F734">
        <v>7456536</v>
      </c>
      <c r="G734" s="3" t="s">
        <v>16</v>
      </c>
      <c r="H734" t="str">
        <f>_xlfn.XLOOKUP(TRIM(D734),對應!D:D,對應!E:E,"未對應")</f>
        <v>7製造</v>
      </c>
    </row>
    <row r="735" spans="1:8" x14ac:dyDescent="0.4">
      <c r="A735" t="s">
        <v>7</v>
      </c>
      <c r="B735">
        <v>2025</v>
      </c>
      <c r="C735">
        <v>7</v>
      </c>
      <c r="D735" t="s">
        <v>17</v>
      </c>
      <c r="E735" t="s">
        <v>18</v>
      </c>
      <c r="F735">
        <v>956824366</v>
      </c>
      <c r="G735" s="3" t="s">
        <v>19</v>
      </c>
      <c r="H735" t="str">
        <f>_xlfn.XLOOKUP(TRIM(D735),對應!D:D,對應!E:E,"未對應")</f>
        <v>4筆電+盈嘉</v>
      </c>
    </row>
    <row r="736" spans="1:8" x14ac:dyDescent="0.4">
      <c r="A736" t="s">
        <v>7</v>
      </c>
      <c r="B736">
        <v>2025</v>
      </c>
      <c r="C736">
        <v>7</v>
      </c>
      <c r="D736" t="s">
        <v>10</v>
      </c>
      <c r="E736" t="s">
        <v>24</v>
      </c>
      <c r="F736">
        <v>1911775607</v>
      </c>
      <c r="G736" s="3" t="s">
        <v>14</v>
      </c>
      <c r="H736" t="str">
        <f>_xlfn.XLOOKUP(TRIM(D736),對應!D:D,對應!E:E,"未對應")</f>
        <v>3通路方案</v>
      </c>
    </row>
    <row r="737" spans="1:8" x14ac:dyDescent="0.4">
      <c r="A737" t="s">
        <v>7</v>
      </c>
      <c r="B737">
        <v>2025</v>
      </c>
      <c r="C737">
        <v>7</v>
      </c>
      <c r="D737" t="s">
        <v>10</v>
      </c>
      <c r="E737" t="s">
        <v>29</v>
      </c>
      <c r="F737">
        <v>9128462</v>
      </c>
      <c r="G737" s="3" t="s">
        <v>12</v>
      </c>
      <c r="H737" t="str">
        <f>_xlfn.XLOOKUP(TRIM(D737),對應!D:D,對應!E:E,"未對應")</f>
        <v>3通路方案</v>
      </c>
    </row>
    <row r="738" spans="1:8" x14ac:dyDescent="0.4">
      <c r="A738" t="s">
        <v>7</v>
      </c>
      <c r="B738">
        <v>2025</v>
      </c>
      <c r="C738">
        <v>7</v>
      </c>
      <c r="D738" t="s">
        <v>10</v>
      </c>
      <c r="E738" t="s">
        <v>30</v>
      </c>
      <c r="F738">
        <v>10210441</v>
      </c>
      <c r="G738" s="3" t="s">
        <v>12</v>
      </c>
      <c r="H738" t="str">
        <f>_xlfn.XLOOKUP(TRIM(D738),對應!D:D,對應!E:E,"未對應")</f>
        <v>3通路方案</v>
      </c>
    </row>
    <row r="739" spans="1:8" x14ac:dyDescent="0.4">
      <c r="A739" t="s">
        <v>7</v>
      </c>
      <c r="B739">
        <v>2025</v>
      </c>
      <c r="C739">
        <v>7</v>
      </c>
      <c r="D739" t="s">
        <v>10</v>
      </c>
      <c r="E739" t="s">
        <v>20</v>
      </c>
      <c r="F739">
        <v>13250413</v>
      </c>
      <c r="G739" s="3" t="s">
        <v>12</v>
      </c>
      <c r="H739" t="str">
        <f>_xlfn.XLOOKUP(TRIM(D739),對應!D:D,對應!E:E,"未對應")</f>
        <v>3通路方案</v>
      </c>
    </row>
    <row r="740" spans="1:8" x14ac:dyDescent="0.4">
      <c r="A740" t="s">
        <v>7</v>
      </c>
      <c r="B740">
        <v>2025</v>
      </c>
      <c r="C740">
        <v>7</v>
      </c>
      <c r="D740" t="s">
        <v>10</v>
      </c>
      <c r="E740" t="s">
        <v>25</v>
      </c>
      <c r="F740">
        <v>699235</v>
      </c>
      <c r="G740" s="3" t="s">
        <v>14</v>
      </c>
      <c r="H740" t="str">
        <f>_xlfn.XLOOKUP(TRIM(D740),對應!D:D,對應!E:E,"未對應")</f>
        <v>3通路方案</v>
      </c>
    </row>
    <row r="741" spans="1:8" x14ac:dyDescent="0.4">
      <c r="A741" t="s">
        <v>7</v>
      </c>
      <c r="B741">
        <v>2025</v>
      </c>
      <c r="C741">
        <v>7</v>
      </c>
      <c r="D741" t="s">
        <v>10</v>
      </c>
      <c r="E741" t="s">
        <v>27</v>
      </c>
      <c r="F741">
        <v>204891053</v>
      </c>
      <c r="G741" s="3" t="s">
        <v>28</v>
      </c>
      <c r="H741" t="str">
        <f>_xlfn.XLOOKUP(TRIM(D741),對應!D:D,對應!E:E,"未對應")</f>
        <v>3通路方案</v>
      </c>
    </row>
    <row r="742" spans="1:8" x14ac:dyDescent="0.4">
      <c r="A742" t="s">
        <v>7</v>
      </c>
      <c r="B742">
        <v>2025</v>
      </c>
      <c r="C742">
        <v>7</v>
      </c>
      <c r="D742" t="s">
        <v>10</v>
      </c>
      <c r="E742" t="s">
        <v>16</v>
      </c>
      <c r="F742">
        <v>13926558</v>
      </c>
      <c r="G742" s="3" t="s">
        <v>16</v>
      </c>
      <c r="H742" t="str">
        <f>_xlfn.XLOOKUP(TRIM(D742),對應!D:D,對應!E:E,"未對應")</f>
        <v>3通路方案</v>
      </c>
    </row>
    <row r="743" spans="1:8" x14ac:dyDescent="0.4">
      <c r="A743" t="s">
        <v>7</v>
      </c>
      <c r="B743">
        <v>2025</v>
      </c>
      <c r="C743">
        <v>7</v>
      </c>
      <c r="D743" t="s">
        <v>10</v>
      </c>
      <c r="E743" t="s">
        <v>38</v>
      </c>
      <c r="F743">
        <v>-13456</v>
      </c>
      <c r="G743" s="3" t="s">
        <v>12</v>
      </c>
      <c r="H743" t="str">
        <f>_xlfn.XLOOKUP(TRIM(D743),對應!D:D,對應!E:E,"未對應")</f>
        <v>3通路方案</v>
      </c>
    </row>
    <row r="744" spans="1:8" x14ac:dyDescent="0.4">
      <c r="A744" t="s">
        <v>43</v>
      </c>
      <c r="B744">
        <v>2025</v>
      </c>
      <c r="C744">
        <v>6</v>
      </c>
      <c r="D744" t="s">
        <v>10</v>
      </c>
      <c r="E744" t="s">
        <v>16</v>
      </c>
      <c r="F744">
        <v>2994971</v>
      </c>
      <c r="G744" s="3" t="s">
        <v>16</v>
      </c>
      <c r="H744" t="str">
        <f>_xlfn.XLOOKUP(TRIM(D744),對應!D:D,對應!E:E,"未對應")</f>
        <v>3通路方案</v>
      </c>
    </row>
    <row r="745" spans="1:8" x14ac:dyDescent="0.4">
      <c r="A745" t="s">
        <v>43</v>
      </c>
      <c r="B745">
        <v>2025</v>
      </c>
      <c r="C745">
        <v>6</v>
      </c>
      <c r="D745" t="s">
        <v>8</v>
      </c>
      <c r="E745" t="s">
        <v>33</v>
      </c>
      <c r="F745">
        <v>1516031</v>
      </c>
      <c r="G745" s="3" t="s">
        <v>9</v>
      </c>
      <c r="H745" t="str">
        <f>_xlfn.XLOOKUP(TRIM(D745),對應!D:D,對應!E:E,"未對應")</f>
        <v>1網通+技鋼</v>
      </c>
    </row>
    <row r="746" spans="1:8" x14ac:dyDescent="0.4">
      <c r="A746" t="s">
        <v>43</v>
      </c>
      <c r="B746">
        <v>2025</v>
      </c>
      <c r="C746">
        <v>6</v>
      </c>
      <c r="D746" t="s">
        <v>10</v>
      </c>
      <c r="E746" t="s">
        <v>30</v>
      </c>
      <c r="F746">
        <v>63303</v>
      </c>
      <c r="G746" s="3" t="s">
        <v>12</v>
      </c>
      <c r="H746" t="str">
        <f>_xlfn.XLOOKUP(TRIM(D746),對應!D:D,對應!E:E,"未對應")</f>
        <v>3通路方案</v>
      </c>
    </row>
    <row r="747" spans="1:8" x14ac:dyDescent="0.4">
      <c r="A747" t="s">
        <v>43</v>
      </c>
      <c r="B747">
        <v>2025</v>
      </c>
      <c r="C747">
        <v>1</v>
      </c>
      <c r="D747" t="s">
        <v>32</v>
      </c>
      <c r="E747" t="s">
        <v>16</v>
      </c>
      <c r="F747">
        <v>231648</v>
      </c>
      <c r="G747" s="3" t="s">
        <v>32</v>
      </c>
      <c r="H747" t="str">
        <f>_xlfn.XLOOKUP(TRIM(D747),對應!D:D,對應!E:E,"未對應")</f>
        <v>5百事益</v>
      </c>
    </row>
    <row r="748" spans="1:8" x14ac:dyDescent="0.4">
      <c r="A748" t="s">
        <v>43</v>
      </c>
      <c r="B748">
        <v>2025</v>
      </c>
      <c r="C748">
        <v>1</v>
      </c>
      <c r="D748" t="s">
        <v>32</v>
      </c>
      <c r="E748" t="s">
        <v>16</v>
      </c>
      <c r="F748">
        <v>8451421</v>
      </c>
      <c r="G748" s="3" t="s">
        <v>32</v>
      </c>
      <c r="H748" t="str">
        <f>_xlfn.XLOOKUP(TRIM(D748),對應!D:D,對應!E:E,"未對應")</f>
        <v>5百事益</v>
      </c>
    </row>
    <row r="749" spans="1:8" x14ac:dyDescent="0.4">
      <c r="A749" t="s">
        <v>43</v>
      </c>
      <c r="B749">
        <v>2025</v>
      </c>
      <c r="C749">
        <v>1</v>
      </c>
      <c r="D749" t="s">
        <v>10</v>
      </c>
      <c r="E749" t="s">
        <v>11</v>
      </c>
      <c r="F749">
        <v>24604706</v>
      </c>
      <c r="G749" s="3" t="s">
        <v>12</v>
      </c>
      <c r="H749" t="str">
        <f>_xlfn.XLOOKUP(TRIM(D749),對應!D:D,對應!E:E,"未對應")</f>
        <v>3通路方案</v>
      </c>
    </row>
    <row r="750" spans="1:8" x14ac:dyDescent="0.4">
      <c r="A750" t="s">
        <v>43</v>
      </c>
      <c r="B750">
        <v>2025</v>
      </c>
      <c r="C750">
        <v>1</v>
      </c>
      <c r="D750" t="s">
        <v>10</v>
      </c>
      <c r="E750" t="s">
        <v>13</v>
      </c>
      <c r="F750">
        <v>-25819</v>
      </c>
      <c r="G750" s="3" t="s">
        <v>14</v>
      </c>
      <c r="H750" t="str">
        <f>_xlfn.XLOOKUP(TRIM(D750),對應!D:D,對應!E:E,"未對應")</f>
        <v>3通路方案</v>
      </c>
    </row>
    <row r="751" spans="1:8" x14ac:dyDescent="0.4">
      <c r="A751" t="s">
        <v>43</v>
      </c>
      <c r="B751">
        <v>2025</v>
      </c>
      <c r="C751">
        <v>1</v>
      </c>
      <c r="D751" t="s">
        <v>8</v>
      </c>
      <c r="E751" t="s">
        <v>33</v>
      </c>
      <c r="F751">
        <v>4316206255</v>
      </c>
      <c r="G751" s="3" t="s">
        <v>9</v>
      </c>
      <c r="H751" t="str">
        <f>_xlfn.XLOOKUP(TRIM(D751),對應!D:D,對應!E:E,"未對應")</f>
        <v>1網通+技鋼</v>
      </c>
    </row>
    <row r="752" spans="1:8" x14ac:dyDescent="0.4">
      <c r="A752" t="s">
        <v>43</v>
      </c>
      <c r="B752">
        <v>2025</v>
      </c>
      <c r="C752">
        <v>2</v>
      </c>
      <c r="D752" t="s">
        <v>10</v>
      </c>
      <c r="E752" t="s">
        <v>24</v>
      </c>
      <c r="F752">
        <v>550341124</v>
      </c>
      <c r="G752" s="3" t="s">
        <v>14</v>
      </c>
      <c r="H752" t="str">
        <f>_xlfn.XLOOKUP(TRIM(D752),對應!D:D,對應!E:E,"未對應")</f>
        <v>3通路方案</v>
      </c>
    </row>
    <row r="753" spans="1:8" x14ac:dyDescent="0.4">
      <c r="A753" t="s">
        <v>43</v>
      </c>
      <c r="B753">
        <v>2025</v>
      </c>
      <c r="C753">
        <v>2</v>
      </c>
      <c r="D753" t="s">
        <v>10</v>
      </c>
      <c r="E753" t="s">
        <v>25</v>
      </c>
      <c r="F753">
        <v>-644552</v>
      </c>
      <c r="G753" s="3" t="s">
        <v>14</v>
      </c>
      <c r="H753" t="str">
        <f>_xlfn.XLOOKUP(TRIM(D753),對應!D:D,對應!E:E,"未對應")</f>
        <v>3通路方案</v>
      </c>
    </row>
    <row r="754" spans="1:8" x14ac:dyDescent="0.4">
      <c r="A754" t="s">
        <v>43</v>
      </c>
      <c r="B754">
        <v>2025</v>
      </c>
      <c r="C754">
        <v>2</v>
      </c>
      <c r="D754" t="s">
        <v>10</v>
      </c>
      <c r="E754" t="s">
        <v>21</v>
      </c>
      <c r="F754">
        <v>1233968338</v>
      </c>
      <c r="G754" s="3" t="s">
        <v>22</v>
      </c>
      <c r="H754" t="str">
        <f>_xlfn.XLOOKUP(TRIM(D754),對應!D:D,對應!E:E,"未對應")</f>
        <v>3通路方案</v>
      </c>
    </row>
    <row r="755" spans="1:8" x14ac:dyDescent="0.4">
      <c r="A755" t="s">
        <v>43</v>
      </c>
      <c r="B755">
        <v>2025</v>
      </c>
      <c r="C755">
        <v>3</v>
      </c>
      <c r="D755" t="s">
        <v>10</v>
      </c>
      <c r="E755" t="s">
        <v>24</v>
      </c>
      <c r="F755">
        <v>1009496160</v>
      </c>
      <c r="G755" s="3" t="s">
        <v>14</v>
      </c>
      <c r="H755" t="str">
        <f>_xlfn.XLOOKUP(TRIM(D755),對應!D:D,對應!E:E,"未對應")</f>
        <v>3通路方案</v>
      </c>
    </row>
    <row r="756" spans="1:8" x14ac:dyDescent="0.4">
      <c r="A756" t="s">
        <v>43</v>
      </c>
      <c r="B756">
        <v>2025</v>
      </c>
      <c r="C756">
        <v>3</v>
      </c>
      <c r="D756" t="s">
        <v>10</v>
      </c>
      <c r="E756" t="s">
        <v>27</v>
      </c>
      <c r="F756">
        <v>31829038</v>
      </c>
      <c r="G756" s="3" t="s">
        <v>28</v>
      </c>
      <c r="H756" t="str">
        <f>_xlfn.XLOOKUP(TRIM(D756),對應!D:D,對應!E:E,"未對應")</f>
        <v>3通路方案</v>
      </c>
    </row>
    <row r="757" spans="1:8" x14ac:dyDescent="0.4">
      <c r="A757" t="s">
        <v>43</v>
      </c>
      <c r="B757">
        <v>2025</v>
      </c>
      <c r="C757">
        <v>3</v>
      </c>
      <c r="D757" t="s">
        <v>17</v>
      </c>
      <c r="E757" t="s">
        <v>18</v>
      </c>
      <c r="F757">
        <v>105719944</v>
      </c>
      <c r="G757" s="3" t="s">
        <v>19</v>
      </c>
      <c r="H757" t="str">
        <f>_xlfn.XLOOKUP(TRIM(D757),對應!D:D,對應!E:E,"未對應")</f>
        <v>4筆電+盈嘉</v>
      </c>
    </row>
    <row r="758" spans="1:8" x14ac:dyDescent="0.4">
      <c r="A758" t="s">
        <v>43</v>
      </c>
      <c r="B758">
        <v>2025</v>
      </c>
      <c r="C758">
        <v>3</v>
      </c>
      <c r="D758" t="s">
        <v>10</v>
      </c>
      <c r="E758" t="s">
        <v>30</v>
      </c>
      <c r="F758">
        <v>-71043</v>
      </c>
      <c r="G758" s="3" t="s">
        <v>12</v>
      </c>
      <c r="H758" t="str">
        <f>_xlfn.XLOOKUP(TRIM(D758),對應!D:D,對應!E:E,"未對應")</f>
        <v>3通路方案</v>
      </c>
    </row>
    <row r="759" spans="1:8" x14ac:dyDescent="0.4">
      <c r="A759" t="s">
        <v>43</v>
      </c>
      <c r="B759">
        <v>2025</v>
      </c>
      <c r="C759">
        <v>3</v>
      </c>
      <c r="D759" t="s">
        <v>10</v>
      </c>
      <c r="E759" t="s">
        <v>27</v>
      </c>
      <c r="F759">
        <v>52667521</v>
      </c>
      <c r="G759" s="3" t="s">
        <v>28</v>
      </c>
      <c r="H759" t="str">
        <f>_xlfn.XLOOKUP(TRIM(D759),對應!D:D,對應!E:E,"未對應")</f>
        <v>3通路方案</v>
      </c>
    </row>
    <row r="760" spans="1:8" x14ac:dyDescent="0.4">
      <c r="A760" t="s">
        <v>43</v>
      </c>
      <c r="B760">
        <v>2025</v>
      </c>
      <c r="C760">
        <v>3</v>
      </c>
      <c r="D760" t="s">
        <v>32</v>
      </c>
      <c r="E760" t="s">
        <v>16</v>
      </c>
      <c r="F760">
        <v>5583369</v>
      </c>
      <c r="G760" s="3" t="s">
        <v>32</v>
      </c>
      <c r="H760" t="str">
        <f>_xlfn.XLOOKUP(TRIM(D760),對應!D:D,對應!E:E,"未對應")</f>
        <v>5百事益</v>
      </c>
    </row>
    <row r="761" spans="1:8" x14ac:dyDescent="0.4">
      <c r="A761" t="s">
        <v>43</v>
      </c>
      <c r="B761">
        <v>2025</v>
      </c>
      <c r="C761">
        <v>4</v>
      </c>
      <c r="D761" t="s">
        <v>10</v>
      </c>
      <c r="E761" t="s">
        <v>11</v>
      </c>
      <c r="F761">
        <v>5452517</v>
      </c>
      <c r="G761" s="3" t="s">
        <v>12</v>
      </c>
      <c r="H761" t="str">
        <f>_xlfn.XLOOKUP(TRIM(D761),對應!D:D,對應!E:E,"未對應")</f>
        <v>3通路方案</v>
      </c>
    </row>
    <row r="762" spans="1:8" x14ac:dyDescent="0.4">
      <c r="A762" t="s">
        <v>43</v>
      </c>
      <c r="B762">
        <v>2025</v>
      </c>
      <c r="C762">
        <v>4</v>
      </c>
      <c r="D762" t="s">
        <v>10</v>
      </c>
      <c r="E762" t="s">
        <v>26</v>
      </c>
      <c r="F762">
        <v>239865</v>
      </c>
      <c r="G762" s="3" t="s">
        <v>14</v>
      </c>
      <c r="H762" t="str">
        <f>_xlfn.XLOOKUP(TRIM(D762),對應!D:D,對應!E:E,"未對應")</f>
        <v>3通路方案</v>
      </c>
    </row>
    <row r="763" spans="1:8" x14ac:dyDescent="0.4">
      <c r="A763" t="s">
        <v>43</v>
      </c>
      <c r="B763">
        <v>2025</v>
      </c>
      <c r="C763">
        <v>4</v>
      </c>
      <c r="D763" t="s">
        <v>8</v>
      </c>
      <c r="E763" t="s">
        <v>33</v>
      </c>
      <c r="F763">
        <v>633859963</v>
      </c>
      <c r="G763" s="3" t="s">
        <v>9</v>
      </c>
      <c r="H763" t="str">
        <f>_xlfn.XLOOKUP(TRIM(D763),對應!D:D,對應!E:E,"未對應")</f>
        <v>1網通+技鋼</v>
      </c>
    </row>
    <row r="764" spans="1:8" x14ac:dyDescent="0.4">
      <c r="A764" t="s">
        <v>43</v>
      </c>
      <c r="B764">
        <v>2025</v>
      </c>
      <c r="C764">
        <v>4</v>
      </c>
      <c r="D764" t="s">
        <v>10</v>
      </c>
      <c r="E764" t="s">
        <v>16</v>
      </c>
      <c r="F764">
        <v>500106</v>
      </c>
      <c r="G764" s="3" t="s">
        <v>16</v>
      </c>
      <c r="H764" t="str">
        <f>_xlfn.XLOOKUP(TRIM(D764),對應!D:D,對應!E:E,"未對應")</f>
        <v>3通路方案</v>
      </c>
    </row>
    <row r="765" spans="1:8" x14ac:dyDescent="0.4">
      <c r="A765" t="s">
        <v>43</v>
      </c>
      <c r="B765">
        <v>2025</v>
      </c>
      <c r="C765">
        <v>5</v>
      </c>
      <c r="D765" t="s">
        <v>10</v>
      </c>
      <c r="E765" t="s">
        <v>16</v>
      </c>
      <c r="F765">
        <v>3387418</v>
      </c>
      <c r="G765" s="3" t="s">
        <v>16</v>
      </c>
      <c r="H765" t="str">
        <f>_xlfn.XLOOKUP(TRIM(D765),對應!D:D,對應!E:E,"未對應")</f>
        <v>3通路方案</v>
      </c>
    </row>
    <row r="766" spans="1:8" x14ac:dyDescent="0.4">
      <c r="A766" t="s">
        <v>43</v>
      </c>
      <c r="B766">
        <v>2025</v>
      </c>
      <c r="C766">
        <v>5</v>
      </c>
      <c r="D766" t="s">
        <v>10</v>
      </c>
      <c r="E766" t="s">
        <v>25</v>
      </c>
      <c r="F766">
        <v>-44894</v>
      </c>
      <c r="G766" s="3" t="s">
        <v>14</v>
      </c>
      <c r="H766" t="str">
        <f>_xlfn.XLOOKUP(TRIM(D766),對應!D:D,對應!E:E,"未對應")</f>
        <v>3通路方案</v>
      </c>
    </row>
    <row r="767" spans="1:8" x14ac:dyDescent="0.4">
      <c r="A767" t="s">
        <v>43</v>
      </c>
      <c r="B767">
        <v>2025</v>
      </c>
      <c r="C767">
        <v>5</v>
      </c>
      <c r="D767" t="s">
        <v>10</v>
      </c>
      <c r="E767" t="s">
        <v>21</v>
      </c>
      <c r="F767">
        <v>1729645602</v>
      </c>
      <c r="G767" s="3" t="s">
        <v>22</v>
      </c>
      <c r="H767" t="str">
        <f>_xlfn.XLOOKUP(TRIM(D767),對應!D:D,對應!E:E,"未對應")</f>
        <v>3通路方案</v>
      </c>
    </row>
    <row r="768" spans="1:8" x14ac:dyDescent="0.4">
      <c r="A768" t="s">
        <v>43</v>
      </c>
      <c r="B768">
        <v>2025</v>
      </c>
      <c r="C768">
        <v>5</v>
      </c>
      <c r="D768" t="s">
        <v>8</v>
      </c>
      <c r="E768" t="s">
        <v>33</v>
      </c>
      <c r="F768">
        <v>8049316</v>
      </c>
      <c r="G768" s="3" t="s">
        <v>9</v>
      </c>
      <c r="H768" t="str">
        <f>_xlfn.XLOOKUP(TRIM(D768),對應!D:D,對應!E:E,"未對應")</f>
        <v>1網通+技鋼</v>
      </c>
    </row>
    <row r="769" spans="1:8" x14ac:dyDescent="0.4">
      <c r="A769" t="s">
        <v>43</v>
      </c>
      <c r="B769">
        <v>2025</v>
      </c>
      <c r="C769">
        <v>5</v>
      </c>
      <c r="D769" t="s">
        <v>10</v>
      </c>
      <c r="E769" t="s">
        <v>26</v>
      </c>
      <c r="F769">
        <v>1497842</v>
      </c>
      <c r="G769" s="3" t="s">
        <v>14</v>
      </c>
      <c r="H769" t="str">
        <f>_xlfn.XLOOKUP(TRIM(D769),對應!D:D,對應!E:E,"未對應")</f>
        <v>3通路方案</v>
      </c>
    </row>
    <row r="770" spans="1:8" x14ac:dyDescent="0.4">
      <c r="A770" t="s">
        <v>43</v>
      </c>
      <c r="B770">
        <v>2025</v>
      </c>
      <c r="C770">
        <v>6</v>
      </c>
      <c r="D770" t="s">
        <v>10</v>
      </c>
      <c r="E770" t="s">
        <v>24</v>
      </c>
      <c r="F770">
        <v>917348775</v>
      </c>
      <c r="G770" s="3" t="s">
        <v>14</v>
      </c>
      <c r="H770" t="str">
        <f>_xlfn.XLOOKUP(TRIM(D770),對應!D:D,對應!E:E,"未對應")</f>
        <v>3通路方案</v>
      </c>
    </row>
    <row r="771" spans="1:8" x14ac:dyDescent="0.4">
      <c r="A771" t="s">
        <v>43</v>
      </c>
      <c r="B771">
        <v>2025</v>
      </c>
      <c r="C771">
        <v>6</v>
      </c>
      <c r="D771" t="s">
        <v>10</v>
      </c>
      <c r="E771" t="s">
        <v>25</v>
      </c>
      <c r="F771">
        <v>79465</v>
      </c>
      <c r="G771" s="3" t="s">
        <v>14</v>
      </c>
      <c r="H771" t="str">
        <f>_xlfn.XLOOKUP(TRIM(D771),對應!D:D,對應!E:E,"未對應")</f>
        <v>3通路方案</v>
      </c>
    </row>
    <row r="772" spans="1:8" x14ac:dyDescent="0.4">
      <c r="A772" t="s">
        <v>43</v>
      </c>
      <c r="B772">
        <v>2025</v>
      </c>
      <c r="C772">
        <v>6</v>
      </c>
      <c r="D772" t="s">
        <v>10</v>
      </c>
      <c r="E772" t="s">
        <v>27</v>
      </c>
      <c r="F772">
        <v>24125784</v>
      </c>
      <c r="G772" s="3" t="s">
        <v>28</v>
      </c>
      <c r="H772" t="str">
        <f>_xlfn.XLOOKUP(TRIM(D772),對應!D:D,對應!E:E,"未對應")</f>
        <v>3通路方案</v>
      </c>
    </row>
    <row r="773" spans="1:8" x14ac:dyDescent="0.4">
      <c r="A773" t="s">
        <v>43</v>
      </c>
      <c r="B773">
        <v>2025</v>
      </c>
      <c r="C773">
        <v>6</v>
      </c>
      <c r="D773" t="s">
        <v>10</v>
      </c>
      <c r="E773" t="s">
        <v>21</v>
      </c>
      <c r="F773">
        <v>1465671723</v>
      </c>
      <c r="G773" s="3" t="s">
        <v>22</v>
      </c>
      <c r="H773" t="str">
        <f>_xlfn.XLOOKUP(TRIM(D773),對應!D:D,對應!E:E,"未對應")</f>
        <v>3通路方案</v>
      </c>
    </row>
    <row r="774" spans="1:8" x14ac:dyDescent="0.4">
      <c r="A774" t="s">
        <v>43</v>
      </c>
      <c r="B774">
        <v>2025</v>
      </c>
      <c r="C774">
        <v>6</v>
      </c>
      <c r="D774" t="s">
        <v>17</v>
      </c>
      <c r="E774" t="s">
        <v>18</v>
      </c>
      <c r="F774">
        <v>118628259</v>
      </c>
      <c r="G774" s="3" t="s">
        <v>19</v>
      </c>
      <c r="H774" t="str">
        <f>_xlfn.XLOOKUP(TRIM(D774),對應!D:D,對應!E:E,"未對應")</f>
        <v>4筆電+盈嘉</v>
      </c>
    </row>
    <row r="775" spans="1:8" x14ac:dyDescent="0.4">
      <c r="A775" t="s">
        <v>43</v>
      </c>
      <c r="B775">
        <v>2025</v>
      </c>
      <c r="C775">
        <v>6</v>
      </c>
      <c r="D775" t="s">
        <v>10</v>
      </c>
      <c r="E775" t="s">
        <v>30</v>
      </c>
      <c r="F775">
        <v>19119</v>
      </c>
      <c r="G775" s="3" t="s">
        <v>12</v>
      </c>
      <c r="H775" t="str">
        <f>_xlfn.XLOOKUP(TRIM(D775),對應!D:D,對應!E:E,"未對應")</f>
        <v>3通路方案</v>
      </c>
    </row>
    <row r="776" spans="1:8" x14ac:dyDescent="0.4">
      <c r="A776" t="s">
        <v>43</v>
      </c>
      <c r="B776">
        <v>2025</v>
      </c>
      <c r="C776">
        <v>6</v>
      </c>
      <c r="D776" t="s">
        <v>10</v>
      </c>
      <c r="E776" t="s">
        <v>27</v>
      </c>
      <c r="F776">
        <v>13502881</v>
      </c>
      <c r="G776" s="3" t="s">
        <v>28</v>
      </c>
      <c r="H776" t="str">
        <f>_xlfn.XLOOKUP(TRIM(D776),對應!D:D,對應!E:E,"未對應")</f>
        <v>3通路方案</v>
      </c>
    </row>
    <row r="777" spans="1:8" x14ac:dyDescent="0.4">
      <c r="A777" t="s">
        <v>43</v>
      </c>
      <c r="B777">
        <v>2025</v>
      </c>
      <c r="C777">
        <v>6</v>
      </c>
      <c r="D777" t="s">
        <v>32</v>
      </c>
      <c r="E777" t="s">
        <v>16</v>
      </c>
      <c r="F777">
        <v>6325678</v>
      </c>
      <c r="G777" s="3" t="s">
        <v>32</v>
      </c>
      <c r="H777" t="str">
        <f>_xlfn.XLOOKUP(TRIM(D777),對應!D:D,對應!E:E,"未對應")</f>
        <v>5百事益</v>
      </c>
    </row>
    <row r="778" spans="1:8" x14ac:dyDescent="0.4">
      <c r="A778" t="s">
        <v>43</v>
      </c>
      <c r="B778">
        <v>2025</v>
      </c>
      <c r="C778">
        <v>6</v>
      </c>
      <c r="D778" t="s">
        <v>10</v>
      </c>
      <c r="E778" t="s">
        <v>16</v>
      </c>
      <c r="F778">
        <v>485369</v>
      </c>
      <c r="G778" s="3" t="s">
        <v>16</v>
      </c>
      <c r="H778" t="str">
        <f>_xlfn.XLOOKUP(TRIM(D778),對應!D:D,對應!E:E,"未對應")</f>
        <v>3通路方案</v>
      </c>
    </row>
    <row r="779" spans="1:8" x14ac:dyDescent="0.4">
      <c r="A779" t="s">
        <v>43</v>
      </c>
      <c r="B779">
        <v>2025</v>
      </c>
      <c r="C779">
        <v>7</v>
      </c>
      <c r="D779" t="s">
        <v>10</v>
      </c>
      <c r="E779" t="s">
        <v>16</v>
      </c>
      <c r="F779">
        <v>653545</v>
      </c>
      <c r="G779" s="3" t="s">
        <v>16</v>
      </c>
      <c r="H779" t="str">
        <f>_xlfn.XLOOKUP(TRIM(D779),對應!D:D,對應!E:E,"未對應")</f>
        <v>3通路方案</v>
      </c>
    </row>
    <row r="780" spans="1:8" x14ac:dyDescent="0.4">
      <c r="A780" t="s">
        <v>43</v>
      </c>
      <c r="B780">
        <v>2025</v>
      </c>
      <c r="C780">
        <v>7</v>
      </c>
      <c r="D780" t="s">
        <v>10</v>
      </c>
      <c r="E780" t="s">
        <v>11</v>
      </c>
      <c r="F780">
        <v>788658</v>
      </c>
      <c r="G780" s="3" t="s">
        <v>12</v>
      </c>
      <c r="H780" t="str">
        <f>_xlfn.XLOOKUP(TRIM(D780),對應!D:D,對應!E:E,"未對應")</f>
        <v>3通路方案</v>
      </c>
    </row>
    <row r="781" spans="1:8" x14ac:dyDescent="0.4">
      <c r="A781" t="s">
        <v>43</v>
      </c>
      <c r="B781">
        <v>2025</v>
      </c>
      <c r="C781">
        <v>7</v>
      </c>
      <c r="D781" t="s">
        <v>10</v>
      </c>
      <c r="E781" t="s">
        <v>13</v>
      </c>
      <c r="F781">
        <v>419</v>
      </c>
      <c r="G781" s="3" t="s">
        <v>14</v>
      </c>
      <c r="H781" t="str">
        <f>_xlfn.XLOOKUP(TRIM(D781),對應!D:D,對應!E:E,"未對應")</f>
        <v>3通路方案</v>
      </c>
    </row>
    <row r="782" spans="1:8" x14ac:dyDescent="0.4">
      <c r="A782" t="s">
        <v>43</v>
      </c>
      <c r="B782">
        <v>2025</v>
      </c>
      <c r="C782">
        <v>7</v>
      </c>
      <c r="D782" t="s">
        <v>10</v>
      </c>
      <c r="E782" t="s">
        <v>26</v>
      </c>
      <c r="F782">
        <v>188112</v>
      </c>
      <c r="G782" s="3" t="s">
        <v>14</v>
      </c>
      <c r="H782" t="str">
        <f>_xlfn.XLOOKUP(TRIM(D782),對應!D:D,對應!E:E,"未對應")</f>
        <v>3通路方案</v>
      </c>
    </row>
    <row r="783" spans="1:8" x14ac:dyDescent="0.4">
      <c r="A783" t="s">
        <v>43</v>
      </c>
      <c r="B783">
        <v>2025</v>
      </c>
      <c r="C783">
        <v>7</v>
      </c>
      <c r="D783" t="s">
        <v>10</v>
      </c>
      <c r="E783" t="s">
        <v>21</v>
      </c>
      <c r="F783">
        <v>51173756</v>
      </c>
      <c r="G783" s="3" t="s">
        <v>22</v>
      </c>
      <c r="H783" t="str">
        <f>_xlfn.XLOOKUP(TRIM(D783),對應!D:D,對應!E:E,"未對應")</f>
        <v>3通路方案</v>
      </c>
    </row>
    <row r="784" spans="1:8" x14ac:dyDescent="0.4">
      <c r="A784" t="s">
        <v>43</v>
      </c>
      <c r="B784">
        <v>2025</v>
      </c>
      <c r="C784">
        <v>7</v>
      </c>
      <c r="D784" t="s">
        <v>10</v>
      </c>
      <c r="E784" t="s">
        <v>16</v>
      </c>
      <c r="F784">
        <v>867325</v>
      </c>
      <c r="G784" s="3" t="s">
        <v>16</v>
      </c>
      <c r="H784" t="str">
        <f>_xlfn.XLOOKUP(TRIM(D784),對應!D:D,對應!E:E,"未對應")</f>
        <v>3通路方案</v>
      </c>
    </row>
    <row r="785" spans="1:8" x14ac:dyDescent="0.4">
      <c r="A785" t="s">
        <v>43</v>
      </c>
      <c r="B785">
        <v>2025</v>
      </c>
      <c r="C785">
        <v>7</v>
      </c>
      <c r="D785" t="s">
        <v>8</v>
      </c>
      <c r="E785" t="s">
        <v>33</v>
      </c>
      <c r="F785">
        <v>6705342</v>
      </c>
      <c r="G785" s="3" t="s">
        <v>9</v>
      </c>
      <c r="H785" t="str">
        <f>_xlfn.XLOOKUP(TRIM(D785),對應!D:D,對應!E:E,"未對應")</f>
        <v>1網通+技鋼</v>
      </c>
    </row>
    <row r="786" spans="1:8" x14ac:dyDescent="0.4">
      <c r="A786" t="s">
        <v>43</v>
      </c>
      <c r="B786">
        <v>2025</v>
      </c>
      <c r="C786">
        <v>8</v>
      </c>
      <c r="D786" t="s">
        <v>10</v>
      </c>
      <c r="E786" t="s">
        <v>26</v>
      </c>
      <c r="F786">
        <v>40120</v>
      </c>
      <c r="G786" s="3" t="s">
        <v>14</v>
      </c>
      <c r="H786" t="str">
        <f>_xlfn.XLOOKUP(TRIM(D786),對應!D:D,對應!E:E,"未對應")</f>
        <v>3通路方案</v>
      </c>
    </row>
    <row r="787" spans="1:8" x14ac:dyDescent="0.4">
      <c r="A787" t="s">
        <v>43</v>
      </c>
      <c r="B787">
        <v>2025</v>
      </c>
      <c r="C787">
        <v>8</v>
      </c>
      <c r="D787" t="s">
        <v>10</v>
      </c>
      <c r="E787" t="s">
        <v>21</v>
      </c>
      <c r="F787">
        <v>1116979117</v>
      </c>
      <c r="G787" s="3" t="s">
        <v>22</v>
      </c>
      <c r="H787" t="str">
        <f>_xlfn.XLOOKUP(TRIM(D787),對應!D:D,對應!E:E,"未對應")</f>
        <v>3通路方案</v>
      </c>
    </row>
    <row r="788" spans="1:8" x14ac:dyDescent="0.4">
      <c r="A788" t="s">
        <v>43</v>
      </c>
      <c r="B788">
        <v>2025</v>
      </c>
      <c r="C788">
        <v>8</v>
      </c>
      <c r="D788" t="s">
        <v>10</v>
      </c>
      <c r="E788" t="s">
        <v>16</v>
      </c>
      <c r="F788">
        <v>-643884</v>
      </c>
      <c r="G788" s="3" t="s">
        <v>16</v>
      </c>
      <c r="H788" t="str">
        <f>_xlfn.XLOOKUP(TRIM(D788),對應!D:D,對應!E:E,"未對應")</f>
        <v>3通路方案</v>
      </c>
    </row>
    <row r="789" spans="1:8" x14ac:dyDescent="0.4">
      <c r="A789" t="s">
        <v>43</v>
      </c>
      <c r="B789">
        <v>2025</v>
      </c>
      <c r="C789">
        <v>8</v>
      </c>
      <c r="D789" t="s">
        <v>8</v>
      </c>
      <c r="E789" t="s">
        <v>33</v>
      </c>
      <c r="F789">
        <v>4252441</v>
      </c>
      <c r="G789" s="3" t="s">
        <v>9</v>
      </c>
      <c r="H789" t="str">
        <f>_xlfn.XLOOKUP(TRIM(D789),對應!D:D,對應!E:E,"未對應")</f>
        <v>1網通+技鋼</v>
      </c>
    </row>
    <row r="790" spans="1:8" x14ac:dyDescent="0.4">
      <c r="A790" t="s">
        <v>43</v>
      </c>
      <c r="B790">
        <v>2025</v>
      </c>
      <c r="C790">
        <v>8</v>
      </c>
      <c r="D790" t="s">
        <v>8</v>
      </c>
      <c r="E790" t="s">
        <v>33</v>
      </c>
      <c r="F790">
        <v>360580696</v>
      </c>
      <c r="G790" s="3" t="s">
        <v>9</v>
      </c>
      <c r="H790" t="str">
        <f>_xlfn.XLOOKUP(TRIM(D790),對應!D:D,對應!E:E,"未對應")</f>
        <v>1網通+技鋼</v>
      </c>
    </row>
    <row r="791" spans="1:8" x14ac:dyDescent="0.4">
      <c r="A791" t="s">
        <v>43</v>
      </c>
      <c r="B791">
        <v>2025</v>
      </c>
      <c r="C791">
        <v>8</v>
      </c>
      <c r="D791" t="s">
        <v>10</v>
      </c>
      <c r="E791" t="s">
        <v>26</v>
      </c>
      <c r="F791">
        <v>6192255</v>
      </c>
      <c r="G791" s="3" t="s">
        <v>14</v>
      </c>
      <c r="H791" t="str">
        <f>_xlfn.XLOOKUP(TRIM(D791),對應!D:D,對應!E:E,"未對應")</f>
        <v>3通路方案</v>
      </c>
    </row>
    <row r="792" spans="1:8" x14ac:dyDescent="0.4">
      <c r="A792" t="s">
        <v>43</v>
      </c>
      <c r="B792">
        <v>2025</v>
      </c>
      <c r="C792">
        <v>8</v>
      </c>
      <c r="D792" t="s">
        <v>32</v>
      </c>
      <c r="E792" t="s">
        <v>16</v>
      </c>
      <c r="F792">
        <v>3093309</v>
      </c>
      <c r="G792" s="3" t="s">
        <v>32</v>
      </c>
      <c r="H792" t="str">
        <f>_xlfn.XLOOKUP(TRIM(D792),對應!D:D,對應!E:E,"未對應")</f>
        <v>5百事益</v>
      </c>
    </row>
    <row r="793" spans="1:8" x14ac:dyDescent="0.4">
      <c r="A793" t="s">
        <v>43</v>
      </c>
      <c r="B793">
        <v>2025</v>
      </c>
      <c r="C793">
        <v>8</v>
      </c>
      <c r="D793" t="s">
        <v>17</v>
      </c>
      <c r="E793" t="s">
        <v>18</v>
      </c>
      <c r="F793">
        <v>13571451</v>
      </c>
      <c r="G793" s="3" t="s">
        <v>19</v>
      </c>
      <c r="H793" t="str">
        <f>_xlfn.XLOOKUP(TRIM(D793),對應!D:D,對應!E:E,"未對應")</f>
        <v>4筆電+盈嘉</v>
      </c>
    </row>
    <row r="794" spans="1:8" x14ac:dyDescent="0.4">
      <c r="A794" t="s">
        <v>43</v>
      </c>
      <c r="B794">
        <v>2025</v>
      </c>
      <c r="C794">
        <v>8</v>
      </c>
      <c r="D794" t="s">
        <v>10</v>
      </c>
      <c r="E794" t="s">
        <v>24</v>
      </c>
      <c r="F794">
        <v>28792419</v>
      </c>
      <c r="G794" s="3" t="s">
        <v>14</v>
      </c>
      <c r="H794" t="str">
        <f>_xlfn.XLOOKUP(TRIM(D794),對應!D:D,對應!E:E,"未對應")</f>
        <v>3通路方案</v>
      </c>
    </row>
    <row r="795" spans="1:8" x14ac:dyDescent="0.4">
      <c r="A795" t="s">
        <v>43</v>
      </c>
      <c r="B795">
        <v>2025</v>
      </c>
      <c r="C795">
        <v>8</v>
      </c>
      <c r="D795" t="s">
        <v>10</v>
      </c>
      <c r="E795" t="s">
        <v>30</v>
      </c>
      <c r="F795">
        <v>117707</v>
      </c>
      <c r="G795" s="3" t="s">
        <v>12</v>
      </c>
      <c r="H795" t="str">
        <f>_xlfn.XLOOKUP(TRIM(D795),對應!D:D,對應!E:E,"未對應")</f>
        <v>3通路方案</v>
      </c>
    </row>
    <row r="796" spans="1:8" x14ac:dyDescent="0.4">
      <c r="A796" t="s">
        <v>43</v>
      </c>
      <c r="B796">
        <v>2025</v>
      </c>
      <c r="C796">
        <v>8</v>
      </c>
      <c r="D796" t="s">
        <v>10</v>
      </c>
      <c r="E796" t="s">
        <v>25</v>
      </c>
      <c r="F796">
        <v>36053</v>
      </c>
      <c r="G796" s="3" t="s">
        <v>14</v>
      </c>
      <c r="H796" t="str">
        <f>_xlfn.XLOOKUP(TRIM(D796),對應!D:D,對應!E:E,"未對應")</f>
        <v>3通路方案</v>
      </c>
    </row>
    <row r="797" spans="1:8" x14ac:dyDescent="0.4">
      <c r="A797" t="s">
        <v>31</v>
      </c>
      <c r="B797">
        <v>2025</v>
      </c>
      <c r="C797">
        <v>5</v>
      </c>
      <c r="D797" t="s">
        <v>10</v>
      </c>
      <c r="E797" t="s">
        <v>16</v>
      </c>
      <c r="F797">
        <v>-3387418</v>
      </c>
      <c r="G797" s="3" t="s">
        <v>16</v>
      </c>
      <c r="H797" t="str">
        <f>_xlfn.XLOOKUP(TRIM(D797),對應!D:D,對應!E:E,"未對應")</f>
        <v>3通路方案</v>
      </c>
    </row>
    <row r="798" spans="1:8" x14ac:dyDescent="0.4">
      <c r="A798" t="s">
        <v>31</v>
      </c>
      <c r="B798">
        <v>2025</v>
      </c>
      <c r="C798">
        <v>5</v>
      </c>
      <c r="D798" t="s">
        <v>32</v>
      </c>
      <c r="E798" t="s">
        <v>16</v>
      </c>
      <c r="F798">
        <v>-2045242</v>
      </c>
      <c r="G798" s="3" t="s">
        <v>32</v>
      </c>
      <c r="H798" t="str">
        <f>_xlfn.XLOOKUP(TRIM(D798),對應!D:D,對應!E:E,"未對應")</f>
        <v>5百事益</v>
      </c>
    </row>
    <row r="799" spans="1:8" x14ac:dyDescent="0.4">
      <c r="A799" t="s">
        <v>31</v>
      </c>
      <c r="B799">
        <v>2025</v>
      </c>
      <c r="C799">
        <v>5</v>
      </c>
      <c r="D799" t="s">
        <v>10</v>
      </c>
      <c r="E799" t="s">
        <v>25</v>
      </c>
      <c r="F799">
        <v>-33042</v>
      </c>
      <c r="G799" s="3" t="s">
        <v>14</v>
      </c>
      <c r="H799" t="str">
        <f>_xlfn.XLOOKUP(TRIM(D799),對應!D:D,對應!E:E,"未對應")</f>
        <v>3通路方案</v>
      </c>
    </row>
    <row r="800" spans="1:8" x14ac:dyDescent="0.4">
      <c r="A800" t="s">
        <v>31</v>
      </c>
      <c r="B800">
        <v>2025</v>
      </c>
      <c r="C800">
        <v>5</v>
      </c>
      <c r="D800" t="s">
        <v>10</v>
      </c>
      <c r="E800" t="s">
        <v>21</v>
      </c>
      <c r="F800">
        <v>-16138016</v>
      </c>
      <c r="G800" s="3" t="s">
        <v>22</v>
      </c>
      <c r="H800" t="str">
        <f>_xlfn.XLOOKUP(TRIM(D800),對應!D:D,對應!E:E,"未對應")</f>
        <v>3通路方案</v>
      </c>
    </row>
    <row r="801" spans="1:8" x14ac:dyDescent="0.4">
      <c r="A801" t="s">
        <v>31</v>
      </c>
      <c r="B801">
        <v>2025</v>
      </c>
      <c r="C801">
        <v>5</v>
      </c>
      <c r="D801" t="s">
        <v>32</v>
      </c>
      <c r="E801" t="s">
        <v>16</v>
      </c>
      <c r="F801">
        <v>-16993</v>
      </c>
      <c r="G801" s="3" t="s">
        <v>32</v>
      </c>
      <c r="H801" t="str">
        <f>_xlfn.XLOOKUP(TRIM(D801),對應!D:D,對應!E:E,"未對應")</f>
        <v>5百事益</v>
      </c>
    </row>
    <row r="802" spans="1:8" x14ac:dyDescent="0.4">
      <c r="A802" t="s">
        <v>31</v>
      </c>
      <c r="B802">
        <v>2025</v>
      </c>
      <c r="C802">
        <v>6</v>
      </c>
      <c r="D802" t="s">
        <v>32</v>
      </c>
      <c r="E802" t="s">
        <v>16</v>
      </c>
      <c r="F802">
        <v>-115345</v>
      </c>
      <c r="G802" s="3" t="s">
        <v>32</v>
      </c>
      <c r="H802" t="str">
        <f>_xlfn.XLOOKUP(TRIM(D802),對應!D:D,對應!E:E,"未對應")</f>
        <v>5百事益</v>
      </c>
    </row>
    <row r="803" spans="1:8" x14ac:dyDescent="0.4">
      <c r="A803" t="s">
        <v>31</v>
      </c>
      <c r="B803">
        <v>2025</v>
      </c>
      <c r="C803">
        <v>6</v>
      </c>
      <c r="D803" t="s">
        <v>10</v>
      </c>
      <c r="E803" t="s">
        <v>21</v>
      </c>
      <c r="F803">
        <v>-5950945</v>
      </c>
      <c r="G803" s="3" t="s">
        <v>22</v>
      </c>
      <c r="H803" t="str">
        <f>_xlfn.XLOOKUP(TRIM(D803),對應!D:D,對應!E:E,"未對應")</f>
        <v>3通路方案</v>
      </c>
    </row>
    <row r="804" spans="1:8" x14ac:dyDescent="0.4">
      <c r="A804" t="s">
        <v>31</v>
      </c>
      <c r="B804">
        <v>2025</v>
      </c>
      <c r="C804">
        <v>6</v>
      </c>
      <c r="D804" t="s">
        <v>8</v>
      </c>
      <c r="E804" t="s">
        <v>33</v>
      </c>
      <c r="F804">
        <v>-3298340</v>
      </c>
      <c r="G804" s="3" t="s">
        <v>9</v>
      </c>
      <c r="H804" t="str">
        <f>_xlfn.XLOOKUP(TRIM(D804),對應!D:D,對應!E:E,"未對應")</f>
        <v>1網通+技鋼</v>
      </c>
    </row>
    <row r="805" spans="1:8" x14ac:dyDescent="0.4">
      <c r="A805" t="s">
        <v>31</v>
      </c>
      <c r="B805">
        <v>2025</v>
      </c>
      <c r="C805">
        <v>6</v>
      </c>
      <c r="D805" t="s">
        <v>32</v>
      </c>
      <c r="E805" t="s">
        <v>16</v>
      </c>
      <c r="F805">
        <v>-6295776</v>
      </c>
      <c r="G805" s="3" t="s">
        <v>32</v>
      </c>
      <c r="H805" t="str">
        <f>_xlfn.XLOOKUP(TRIM(D805),對應!D:D,對應!E:E,"未對應")</f>
        <v>5百事益</v>
      </c>
    </row>
    <row r="806" spans="1:8" x14ac:dyDescent="0.4">
      <c r="A806" t="s">
        <v>31</v>
      </c>
      <c r="B806">
        <v>2025</v>
      </c>
      <c r="C806">
        <v>6</v>
      </c>
      <c r="D806" t="s">
        <v>32</v>
      </c>
      <c r="E806" t="s">
        <v>16</v>
      </c>
      <c r="F806">
        <v>-14641402</v>
      </c>
      <c r="G806" s="3" t="s">
        <v>32</v>
      </c>
      <c r="H806" t="str">
        <f>_xlfn.XLOOKUP(TRIM(D806),對應!D:D,對應!E:E,"未對應")</f>
        <v>5百事益</v>
      </c>
    </row>
    <row r="807" spans="1:8" x14ac:dyDescent="0.4">
      <c r="A807" t="s">
        <v>43</v>
      </c>
      <c r="B807">
        <v>2025</v>
      </c>
      <c r="C807">
        <v>3</v>
      </c>
      <c r="D807" t="s">
        <v>10</v>
      </c>
      <c r="E807" t="s">
        <v>24</v>
      </c>
      <c r="F807">
        <v>13886285</v>
      </c>
      <c r="G807" s="3" t="s">
        <v>14</v>
      </c>
      <c r="H807" t="str">
        <f>_xlfn.XLOOKUP(TRIM(D807),對應!D:D,對應!E:E,"未對應")</f>
        <v>3通路方案</v>
      </c>
    </row>
    <row r="808" spans="1:8" x14ac:dyDescent="0.4">
      <c r="A808" t="s">
        <v>43</v>
      </c>
      <c r="B808">
        <v>2025</v>
      </c>
      <c r="C808">
        <v>4</v>
      </c>
      <c r="D808" t="s">
        <v>10</v>
      </c>
      <c r="E808" t="s">
        <v>25</v>
      </c>
      <c r="F808">
        <v>456654</v>
      </c>
      <c r="G808" s="3" t="s">
        <v>14</v>
      </c>
      <c r="H808" t="str">
        <f>_xlfn.XLOOKUP(TRIM(D808),對應!D:D,對應!E:E,"未對應")</f>
        <v>3通路方案</v>
      </c>
    </row>
    <row r="809" spans="1:8" x14ac:dyDescent="0.4">
      <c r="A809" t="s">
        <v>43</v>
      </c>
      <c r="B809">
        <v>2025</v>
      </c>
      <c r="C809">
        <v>4</v>
      </c>
      <c r="D809" t="s">
        <v>10</v>
      </c>
      <c r="E809" t="s">
        <v>27</v>
      </c>
      <c r="F809">
        <v>31890969</v>
      </c>
      <c r="G809" s="3" t="s">
        <v>28</v>
      </c>
      <c r="H809" t="str">
        <f>_xlfn.XLOOKUP(TRIM(D809),對應!D:D,對應!E:E,"未對應")</f>
        <v>3通路方案</v>
      </c>
    </row>
    <row r="810" spans="1:8" x14ac:dyDescent="0.4">
      <c r="A810" t="s">
        <v>43</v>
      </c>
      <c r="B810">
        <v>2025</v>
      </c>
      <c r="C810">
        <v>4</v>
      </c>
      <c r="D810" t="s">
        <v>10</v>
      </c>
      <c r="E810" t="s">
        <v>24</v>
      </c>
      <c r="F810">
        <v>557412660</v>
      </c>
      <c r="G810" s="3" t="s">
        <v>14</v>
      </c>
      <c r="H810" t="str">
        <f>_xlfn.XLOOKUP(TRIM(D810),對應!D:D,對應!E:E,"未對應")</f>
        <v>3通路方案</v>
      </c>
    </row>
    <row r="811" spans="1:8" x14ac:dyDescent="0.4">
      <c r="A811" t="s">
        <v>43</v>
      </c>
      <c r="B811">
        <v>2025</v>
      </c>
      <c r="C811">
        <v>4</v>
      </c>
      <c r="D811" t="s">
        <v>10</v>
      </c>
      <c r="E811" t="s">
        <v>30</v>
      </c>
      <c r="F811">
        <v>542197</v>
      </c>
      <c r="G811" s="3" t="s">
        <v>12</v>
      </c>
      <c r="H811" t="str">
        <f>_xlfn.XLOOKUP(TRIM(D811),對應!D:D,對應!E:E,"未對應")</f>
        <v>3通路方案</v>
      </c>
    </row>
    <row r="812" spans="1:8" x14ac:dyDescent="0.4">
      <c r="A812" t="s">
        <v>43</v>
      </c>
      <c r="B812">
        <v>2025</v>
      </c>
      <c r="C812">
        <v>5</v>
      </c>
      <c r="D812" t="s">
        <v>10</v>
      </c>
      <c r="E812" t="s">
        <v>25</v>
      </c>
      <c r="F812">
        <v>33042</v>
      </c>
      <c r="G812" s="3" t="s">
        <v>14</v>
      </c>
      <c r="H812" t="str">
        <f>_xlfn.XLOOKUP(TRIM(D812),對應!D:D,對應!E:E,"未對應")</f>
        <v>3通路方案</v>
      </c>
    </row>
    <row r="813" spans="1:8" x14ac:dyDescent="0.4">
      <c r="A813" t="s">
        <v>43</v>
      </c>
      <c r="B813">
        <v>2025</v>
      </c>
      <c r="C813">
        <v>5</v>
      </c>
      <c r="D813" t="s">
        <v>10</v>
      </c>
      <c r="E813" t="s">
        <v>16</v>
      </c>
      <c r="F813">
        <v>575924</v>
      </c>
      <c r="G813" s="3" t="s">
        <v>16</v>
      </c>
      <c r="H813" t="str">
        <f>_xlfn.XLOOKUP(TRIM(D813),對應!D:D,對應!E:E,"未對應")</f>
        <v>3通路方案</v>
      </c>
    </row>
    <row r="814" spans="1:8" x14ac:dyDescent="0.4">
      <c r="A814" t="s">
        <v>43</v>
      </c>
      <c r="B814">
        <v>2025</v>
      </c>
      <c r="C814">
        <v>5</v>
      </c>
      <c r="D814" t="s">
        <v>10</v>
      </c>
      <c r="E814" t="s">
        <v>13</v>
      </c>
      <c r="F814">
        <v>958</v>
      </c>
      <c r="G814" s="3" t="s">
        <v>14</v>
      </c>
      <c r="H814" t="str">
        <f>_xlfn.XLOOKUP(TRIM(D814),對應!D:D,對應!E:E,"未對應")</f>
        <v>3通路方案</v>
      </c>
    </row>
    <row r="815" spans="1:8" x14ac:dyDescent="0.4">
      <c r="A815" t="s">
        <v>43</v>
      </c>
      <c r="B815">
        <v>2025</v>
      </c>
      <c r="C815">
        <v>6</v>
      </c>
      <c r="D815" t="s">
        <v>10</v>
      </c>
      <c r="E815" t="s">
        <v>16</v>
      </c>
      <c r="F815">
        <v>6694589</v>
      </c>
      <c r="G815" s="3" t="s">
        <v>16</v>
      </c>
      <c r="H815" t="str">
        <f>_xlfn.XLOOKUP(TRIM(D815),對應!D:D,對應!E:E,"未對應")</f>
        <v>3通路方案</v>
      </c>
    </row>
    <row r="816" spans="1:8" x14ac:dyDescent="0.4">
      <c r="A816" t="s">
        <v>43</v>
      </c>
      <c r="B816">
        <v>2025</v>
      </c>
      <c r="C816">
        <v>6</v>
      </c>
      <c r="D816" t="s">
        <v>32</v>
      </c>
      <c r="E816" t="s">
        <v>16</v>
      </c>
      <c r="F816">
        <v>8831223</v>
      </c>
      <c r="G816" s="3" t="s">
        <v>32</v>
      </c>
      <c r="H816" t="str">
        <f>_xlfn.XLOOKUP(TRIM(D816),對應!D:D,對應!E:E,"未對應")</f>
        <v>5百事益</v>
      </c>
    </row>
    <row r="817" spans="1:8" x14ac:dyDescent="0.4">
      <c r="A817" t="s">
        <v>43</v>
      </c>
      <c r="B817">
        <v>2025</v>
      </c>
      <c r="C817">
        <v>6</v>
      </c>
      <c r="D817" t="s">
        <v>8</v>
      </c>
      <c r="E817" t="s">
        <v>33</v>
      </c>
      <c r="F817">
        <v>3295008</v>
      </c>
      <c r="G817" s="3" t="s">
        <v>9</v>
      </c>
      <c r="H817" t="str">
        <f>_xlfn.XLOOKUP(TRIM(D817),對應!D:D,對應!E:E,"未對應")</f>
        <v>1網通+技鋼</v>
      </c>
    </row>
    <row r="818" spans="1:8" x14ac:dyDescent="0.4">
      <c r="A818" t="s">
        <v>43</v>
      </c>
      <c r="B818">
        <v>2025</v>
      </c>
      <c r="C818">
        <v>6</v>
      </c>
      <c r="D818" t="s">
        <v>8</v>
      </c>
      <c r="E818" t="s">
        <v>33</v>
      </c>
      <c r="F818">
        <v>-47068</v>
      </c>
      <c r="G818" s="3" t="s">
        <v>9</v>
      </c>
      <c r="H818" t="str">
        <f>_xlfn.XLOOKUP(TRIM(D818),對應!D:D,對應!E:E,"未對應")</f>
        <v>1網通+技鋼</v>
      </c>
    </row>
    <row r="819" spans="1:8" x14ac:dyDescent="0.4">
      <c r="A819" t="s">
        <v>43</v>
      </c>
      <c r="B819">
        <v>2025</v>
      </c>
      <c r="C819">
        <v>6</v>
      </c>
      <c r="D819" t="s">
        <v>8</v>
      </c>
      <c r="E819" t="s">
        <v>33</v>
      </c>
      <c r="F819">
        <v>609518361</v>
      </c>
      <c r="G819" s="3" t="s">
        <v>9</v>
      </c>
      <c r="H819" t="str">
        <f>_xlfn.XLOOKUP(TRIM(D819),對應!D:D,對應!E:E,"未對應")</f>
        <v>1網通+技鋼</v>
      </c>
    </row>
    <row r="820" spans="1:8" x14ac:dyDescent="0.4">
      <c r="A820" t="s">
        <v>43</v>
      </c>
      <c r="B820">
        <v>2025</v>
      </c>
      <c r="C820">
        <v>6</v>
      </c>
      <c r="D820" t="s">
        <v>10</v>
      </c>
      <c r="E820" t="s">
        <v>24</v>
      </c>
      <c r="F820">
        <v>30934785</v>
      </c>
      <c r="G820" s="3" t="s">
        <v>14</v>
      </c>
      <c r="H820" t="str">
        <f>_xlfn.XLOOKUP(TRIM(D820),對應!D:D,對應!E:E,"未對應")</f>
        <v>3通路方案</v>
      </c>
    </row>
    <row r="821" spans="1:8" x14ac:dyDescent="0.4">
      <c r="A821" t="s">
        <v>43</v>
      </c>
      <c r="B821">
        <v>2025</v>
      </c>
      <c r="C821">
        <v>1</v>
      </c>
      <c r="D821" t="s">
        <v>8</v>
      </c>
      <c r="E821" t="s">
        <v>33</v>
      </c>
      <c r="F821">
        <v>16414795</v>
      </c>
      <c r="G821" s="3" t="s">
        <v>9</v>
      </c>
      <c r="H821" t="str">
        <f>_xlfn.XLOOKUP(TRIM(D821),對應!D:D,對應!E:E,"未對應")</f>
        <v>1網通+技鋼</v>
      </c>
    </row>
    <row r="822" spans="1:8" x14ac:dyDescent="0.4">
      <c r="A822" t="s">
        <v>43</v>
      </c>
      <c r="B822">
        <v>2025</v>
      </c>
      <c r="C822">
        <v>1</v>
      </c>
      <c r="D822" t="s">
        <v>8</v>
      </c>
      <c r="E822" t="s">
        <v>33</v>
      </c>
      <c r="F822">
        <v>7208781</v>
      </c>
      <c r="G822" s="3" t="s">
        <v>9</v>
      </c>
      <c r="H822" t="str">
        <f>_xlfn.XLOOKUP(TRIM(D822),對應!D:D,對應!E:E,"未對應")</f>
        <v>1網通+技鋼</v>
      </c>
    </row>
    <row r="823" spans="1:8" x14ac:dyDescent="0.4">
      <c r="A823" t="s">
        <v>43</v>
      </c>
      <c r="B823">
        <v>2025</v>
      </c>
      <c r="C823">
        <v>1</v>
      </c>
      <c r="D823" t="s">
        <v>10</v>
      </c>
      <c r="E823" t="s">
        <v>11</v>
      </c>
      <c r="F823">
        <v>1629057</v>
      </c>
      <c r="G823" s="3" t="s">
        <v>12</v>
      </c>
      <c r="H823" t="str">
        <f>_xlfn.XLOOKUP(TRIM(D823),對應!D:D,對應!E:E,"未對應")</f>
        <v>3通路方案</v>
      </c>
    </row>
    <row r="824" spans="1:8" x14ac:dyDescent="0.4">
      <c r="A824" t="s">
        <v>43</v>
      </c>
      <c r="B824">
        <v>2025</v>
      </c>
      <c r="C824">
        <v>2</v>
      </c>
      <c r="D824" t="s">
        <v>10</v>
      </c>
      <c r="E824" t="s">
        <v>27</v>
      </c>
      <c r="F824">
        <v>21170284</v>
      </c>
      <c r="G824" s="3" t="s">
        <v>28</v>
      </c>
      <c r="H824" t="str">
        <f>_xlfn.XLOOKUP(TRIM(D824),對應!D:D,對應!E:E,"未對應")</f>
        <v>3通路方案</v>
      </c>
    </row>
    <row r="825" spans="1:8" x14ac:dyDescent="0.4">
      <c r="A825" t="s">
        <v>43</v>
      </c>
      <c r="B825">
        <v>2025</v>
      </c>
      <c r="C825">
        <v>2</v>
      </c>
      <c r="D825" t="s">
        <v>10</v>
      </c>
      <c r="E825" t="s">
        <v>30</v>
      </c>
      <c r="F825">
        <v>563406</v>
      </c>
      <c r="G825" s="3" t="s">
        <v>12</v>
      </c>
      <c r="H825" t="str">
        <f>_xlfn.XLOOKUP(TRIM(D825),對應!D:D,對應!E:E,"未對應")</f>
        <v>3通路方案</v>
      </c>
    </row>
    <row r="826" spans="1:8" x14ac:dyDescent="0.4">
      <c r="A826" t="s">
        <v>43</v>
      </c>
      <c r="B826">
        <v>2025</v>
      </c>
      <c r="C826">
        <v>3</v>
      </c>
      <c r="D826" t="s">
        <v>10</v>
      </c>
      <c r="E826" t="s">
        <v>25</v>
      </c>
      <c r="F826">
        <v>234994</v>
      </c>
      <c r="G826" s="3" t="s">
        <v>14</v>
      </c>
      <c r="H826" t="str">
        <f>_xlfn.XLOOKUP(TRIM(D826),對應!D:D,對應!E:E,"未對應")</f>
        <v>3通路方案</v>
      </c>
    </row>
    <row r="827" spans="1:8" x14ac:dyDescent="0.4">
      <c r="A827" t="s">
        <v>31</v>
      </c>
      <c r="B827">
        <v>2025</v>
      </c>
      <c r="C827">
        <v>7</v>
      </c>
      <c r="D827" t="s">
        <v>10</v>
      </c>
      <c r="E827" t="s">
        <v>30</v>
      </c>
      <c r="F827">
        <v>-58366</v>
      </c>
      <c r="G827" s="3" t="s">
        <v>12</v>
      </c>
      <c r="H827" t="str">
        <f>_xlfn.XLOOKUP(TRIM(D827),對應!D:D,對應!E:E,"未對應")</f>
        <v>3通路方案</v>
      </c>
    </row>
    <row r="828" spans="1:8" x14ac:dyDescent="0.4">
      <c r="A828" t="s">
        <v>31</v>
      </c>
      <c r="B828">
        <v>2025</v>
      </c>
      <c r="C828">
        <v>7</v>
      </c>
      <c r="D828" t="s">
        <v>10</v>
      </c>
      <c r="E828" t="s">
        <v>25</v>
      </c>
      <c r="F828">
        <v>-9812</v>
      </c>
      <c r="G828" s="3" t="s">
        <v>14</v>
      </c>
      <c r="H828" t="str">
        <f>_xlfn.XLOOKUP(TRIM(D828),對應!D:D,對應!E:E,"未對應")</f>
        <v>3通路方案</v>
      </c>
    </row>
    <row r="829" spans="1:8" x14ac:dyDescent="0.4">
      <c r="A829" t="s">
        <v>31</v>
      </c>
      <c r="B829">
        <v>2025</v>
      </c>
      <c r="C829">
        <v>7</v>
      </c>
      <c r="D829" t="s">
        <v>10</v>
      </c>
      <c r="E829" t="s">
        <v>27</v>
      </c>
      <c r="F829">
        <v>-2582349</v>
      </c>
      <c r="G829" s="3" t="s">
        <v>28</v>
      </c>
      <c r="H829" t="str">
        <f>_xlfn.XLOOKUP(TRIM(D829),對應!D:D,對應!E:E,"未對應")</f>
        <v>3通路方案</v>
      </c>
    </row>
    <row r="830" spans="1:8" x14ac:dyDescent="0.4">
      <c r="A830" t="s">
        <v>31</v>
      </c>
      <c r="B830">
        <v>2025</v>
      </c>
      <c r="C830">
        <v>7</v>
      </c>
      <c r="D830" t="s">
        <v>10</v>
      </c>
      <c r="E830" t="s">
        <v>16</v>
      </c>
      <c r="F830">
        <v>-653545</v>
      </c>
      <c r="G830" s="3" t="s">
        <v>16</v>
      </c>
      <c r="H830" t="str">
        <f>_xlfn.XLOOKUP(TRIM(D830),對應!D:D,對應!E:E,"未對應")</f>
        <v>3通路方案</v>
      </c>
    </row>
    <row r="831" spans="1:8" x14ac:dyDescent="0.4">
      <c r="A831" t="s">
        <v>31</v>
      </c>
      <c r="B831">
        <v>2025</v>
      </c>
      <c r="C831">
        <v>7</v>
      </c>
      <c r="D831" t="s">
        <v>10</v>
      </c>
      <c r="E831" t="s">
        <v>47</v>
      </c>
      <c r="F831">
        <v>-25369</v>
      </c>
      <c r="G831" s="3" t="s">
        <v>14</v>
      </c>
      <c r="H831" t="str">
        <f>_xlfn.XLOOKUP(TRIM(D831),對應!D:D,對應!E:E,"未對應")</f>
        <v>3通路方案</v>
      </c>
    </row>
    <row r="832" spans="1:8" x14ac:dyDescent="0.4">
      <c r="A832" t="s">
        <v>31</v>
      </c>
      <c r="B832">
        <v>2025</v>
      </c>
      <c r="C832">
        <v>7</v>
      </c>
      <c r="D832" t="s">
        <v>10</v>
      </c>
      <c r="E832" t="s">
        <v>11</v>
      </c>
      <c r="F832">
        <v>-889133</v>
      </c>
      <c r="G832" s="3" t="s">
        <v>12</v>
      </c>
      <c r="H832" t="str">
        <f>_xlfn.XLOOKUP(TRIM(D832),對應!D:D,對應!E:E,"未對應")</f>
        <v>3通路方案</v>
      </c>
    </row>
    <row r="833" spans="1:8" x14ac:dyDescent="0.4">
      <c r="A833" t="s">
        <v>31</v>
      </c>
      <c r="B833">
        <v>2025</v>
      </c>
      <c r="C833">
        <v>7</v>
      </c>
      <c r="D833" t="s">
        <v>10</v>
      </c>
      <c r="E833" t="s">
        <v>13</v>
      </c>
      <c r="F833">
        <v>-419</v>
      </c>
      <c r="G833" s="3" t="s">
        <v>14</v>
      </c>
      <c r="H833" t="str">
        <f>_xlfn.XLOOKUP(TRIM(D833),對應!D:D,對應!E:E,"未對應")</f>
        <v>3通路方案</v>
      </c>
    </row>
    <row r="834" spans="1:8" x14ac:dyDescent="0.4">
      <c r="A834" t="s">
        <v>31</v>
      </c>
      <c r="B834">
        <v>2025</v>
      </c>
      <c r="C834">
        <v>7</v>
      </c>
      <c r="D834" t="s">
        <v>10</v>
      </c>
      <c r="E834" t="s">
        <v>26</v>
      </c>
      <c r="F834">
        <v>-189488</v>
      </c>
      <c r="G834" s="3" t="s">
        <v>14</v>
      </c>
      <c r="H834" t="str">
        <f>_xlfn.XLOOKUP(TRIM(D834),對應!D:D,對應!E:E,"未對應")</f>
        <v>3通路方案</v>
      </c>
    </row>
    <row r="835" spans="1:8" x14ac:dyDescent="0.4">
      <c r="A835" t="s">
        <v>31</v>
      </c>
      <c r="B835">
        <v>2025</v>
      </c>
      <c r="C835">
        <v>7</v>
      </c>
      <c r="D835" t="s">
        <v>10</v>
      </c>
      <c r="E835" t="s">
        <v>21</v>
      </c>
      <c r="F835">
        <v>-11193161</v>
      </c>
      <c r="G835" s="3" t="s">
        <v>22</v>
      </c>
      <c r="H835" t="str">
        <f>_xlfn.XLOOKUP(TRIM(D835),對應!D:D,對應!E:E,"未對應")</f>
        <v>3通路方案</v>
      </c>
    </row>
    <row r="836" spans="1:8" x14ac:dyDescent="0.4">
      <c r="A836" t="s">
        <v>31</v>
      </c>
      <c r="B836">
        <v>2025</v>
      </c>
      <c r="C836">
        <v>7</v>
      </c>
      <c r="D836" t="s">
        <v>10</v>
      </c>
      <c r="E836" t="s">
        <v>16</v>
      </c>
      <c r="F836">
        <v>-657883</v>
      </c>
      <c r="G836" s="3" t="s">
        <v>16</v>
      </c>
      <c r="H836" t="str">
        <f>_xlfn.XLOOKUP(TRIM(D836),對應!D:D,對應!E:E,"未對應")</f>
        <v>3通路方案</v>
      </c>
    </row>
    <row r="837" spans="1:8" x14ac:dyDescent="0.4">
      <c r="A837" t="s">
        <v>31</v>
      </c>
      <c r="B837">
        <v>2025</v>
      </c>
      <c r="C837">
        <v>7</v>
      </c>
      <c r="D837" t="s">
        <v>32</v>
      </c>
      <c r="E837" t="s">
        <v>16</v>
      </c>
      <c r="F837">
        <v>-29916</v>
      </c>
      <c r="G837" s="3" t="s">
        <v>32</v>
      </c>
      <c r="H837" t="str">
        <f>_xlfn.XLOOKUP(TRIM(D837),對應!D:D,對應!E:E,"未對應")</f>
        <v>5百事益</v>
      </c>
    </row>
    <row r="838" spans="1:8" x14ac:dyDescent="0.4">
      <c r="A838" t="s">
        <v>31</v>
      </c>
      <c r="B838">
        <v>2025</v>
      </c>
      <c r="C838">
        <v>7</v>
      </c>
      <c r="D838" t="s">
        <v>10</v>
      </c>
      <c r="E838" t="s">
        <v>21</v>
      </c>
      <c r="F838">
        <v>-372454</v>
      </c>
      <c r="G838" s="3" t="s">
        <v>22</v>
      </c>
      <c r="H838" t="str">
        <f>_xlfn.XLOOKUP(TRIM(D838),對應!D:D,對應!E:E,"未對應")</f>
        <v>3通路方案</v>
      </c>
    </row>
    <row r="839" spans="1:8" x14ac:dyDescent="0.4">
      <c r="A839" t="s">
        <v>31</v>
      </c>
      <c r="B839">
        <v>2025</v>
      </c>
      <c r="C839">
        <v>7</v>
      </c>
      <c r="D839" t="s">
        <v>32</v>
      </c>
      <c r="E839" t="s">
        <v>16</v>
      </c>
      <c r="F839">
        <v>-4325255</v>
      </c>
      <c r="G839" s="3" t="s">
        <v>32</v>
      </c>
      <c r="H839" t="str">
        <f>_xlfn.XLOOKUP(TRIM(D839),對應!D:D,對應!E:E,"未對應")</f>
        <v>5百事益</v>
      </c>
    </row>
    <row r="840" spans="1:8" x14ac:dyDescent="0.4">
      <c r="A840" t="s">
        <v>31</v>
      </c>
      <c r="B840">
        <v>2025</v>
      </c>
      <c r="C840">
        <v>7</v>
      </c>
      <c r="D840" t="s">
        <v>8</v>
      </c>
      <c r="E840" t="s">
        <v>33</v>
      </c>
      <c r="F840">
        <v>-6705342</v>
      </c>
      <c r="G840" s="3" t="s">
        <v>9</v>
      </c>
      <c r="H840" t="str">
        <f>_xlfn.XLOOKUP(TRIM(D840),對應!D:D,對應!E:E,"未對應")</f>
        <v>1網通+技鋼</v>
      </c>
    </row>
    <row r="841" spans="1:8" x14ac:dyDescent="0.4">
      <c r="A841" t="s">
        <v>31</v>
      </c>
      <c r="B841">
        <v>2025</v>
      </c>
      <c r="C841">
        <v>7</v>
      </c>
      <c r="D841" t="s">
        <v>32</v>
      </c>
      <c r="E841" t="s">
        <v>16</v>
      </c>
      <c r="F841">
        <v>-116373</v>
      </c>
      <c r="G841" s="3" t="s">
        <v>32</v>
      </c>
      <c r="H841" t="str">
        <f>_xlfn.XLOOKUP(TRIM(D841),對應!D:D,對應!E:E,"未對應")</f>
        <v>5百事益</v>
      </c>
    </row>
    <row r="842" spans="1:8" x14ac:dyDescent="0.4">
      <c r="A842" t="s">
        <v>31</v>
      </c>
      <c r="B842">
        <v>2025</v>
      </c>
      <c r="C842">
        <v>7</v>
      </c>
      <c r="D842" t="s">
        <v>32</v>
      </c>
      <c r="E842" t="s">
        <v>16</v>
      </c>
      <c r="F842">
        <v>-15003528</v>
      </c>
      <c r="G842" s="3" t="s">
        <v>32</v>
      </c>
      <c r="H842" t="str">
        <f>_xlfn.XLOOKUP(TRIM(D842),對應!D:D,對應!E:E,"未對應")</f>
        <v>5百事益</v>
      </c>
    </row>
    <row r="843" spans="1:8" x14ac:dyDescent="0.4">
      <c r="A843" t="s">
        <v>31</v>
      </c>
      <c r="B843">
        <v>2025</v>
      </c>
      <c r="C843">
        <v>7</v>
      </c>
      <c r="D843" t="s">
        <v>32</v>
      </c>
      <c r="E843" t="s">
        <v>16</v>
      </c>
      <c r="F843">
        <v>-163383</v>
      </c>
      <c r="G843" s="3" t="s">
        <v>32</v>
      </c>
      <c r="H843" t="str">
        <f>_xlfn.XLOOKUP(TRIM(D843),對應!D:D,對應!E:E,"未對應")</f>
        <v>5百事益</v>
      </c>
    </row>
    <row r="844" spans="1:8" x14ac:dyDescent="0.4">
      <c r="A844" t="s">
        <v>31</v>
      </c>
      <c r="B844">
        <v>2025</v>
      </c>
      <c r="C844">
        <v>7</v>
      </c>
      <c r="D844" t="s">
        <v>32</v>
      </c>
      <c r="E844" t="s">
        <v>16</v>
      </c>
      <c r="F844">
        <v>-577281</v>
      </c>
      <c r="G844" s="3" t="s">
        <v>32</v>
      </c>
      <c r="H844" t="str">
        <f>_xlfn.XLOOKUP(TRIM(D844),對應!D:D,對應!E:E,"未對應")</f>
        <v>5百事益</v>
      </c>
    </row>
    <row r="845" spans="1:8" x14ac:dyDescent="0.4">
      <c r="A845" t="s">
        <v>36</v>
      </c>
      <c r="B845">
        <v>2025</v>
      </c>
      <c r="C845">
        <v>7</v>
      </c>
      <c r="D845" t="s">
        <v>32</v>
      </c>
      <c r="E845" t="s">
        <v>16</v>
      </c>
      <c r="F845">
        <v>101209807</v>
      </c>
      <c r="G845" s="3" t="s">
        <v>32</v>
      </c>
      <c r="H845" t="str">
        <f>_xlfn.XLOOKUP(TRIM(D845),對應!D:D,對應!E:E,"未對應")</f>
        <v>5百事益</v>
      </c>
    </row>
    <row r="846" spans="1:8" x14ac:dyDescent="0.4">
      <c r="A846" t="s">
        <v>41</v>
      </c>
      <c r="B846">
        <v>2025</v>
      </c>
      <c r="C846">
        <v>2</v>
      </c>
      <c r="D846" t="s">
        <v>32</v>
      </c>
      <c r="E846" t="s">
        <v>16</v>
      </c>
      <c r="F846">
        <v>-50860535</v>
      </c>
      <c r="G846" s="3" t="s">
        <v>32</v>
      </c>
      <c r="H846" t="str">
        <f>_xlfn.XLOOKUP(TRIM(D846),對應!D:D,對應!E:E,"未對應")</f>
        <v>5百事益</v>
      </c>
    </row>
    <row r="847" spans="1:8" x14ac:dyDescent="0.4">
      <c r="A847" t="s">
        <v>41</v>
      </c>
      <c r="B847">
        <v>2025</v>
      </c>
      <c r="C847">
        <v>4</v>
      </c>
      <c r="D847" t="s">
        <v>39</v>
      </c>
      <c r="E847" t="s">
        <v>40</v>
      </c>
      <c r="F847">
        <v>-144600</v>
      </c>
      <c r="G847" s="3" t="s">
        <v>42</v>
      </c>
      <c r="H847" t="str">
        <f>_xlfn.XLOOKUP(TRIM(D847),對應!D:D,對應!E:E,"未對應")</f>
        <v>2技宸</v>
      </c>
    </row>
    <row r="848" spans="1:8" x14ac:dyDescent="0.4">
      <c r="A848" t="s">
        <v>41</v>
      </c>
      <c r="B848">
        <v>2025</v>
      </c>
      <c r="C848">
        <v>4</v>
      </c>
      <c r="D848" t="s">
        <v>8</v>
      </c>
      <c r="E848" t="s">
        <v>33</v>
      </c>
      <c r="F848">
        <v>-45295551</v>
      </c>
      <c r="G848" s="3" t="s">
        <v>9</v>
      </c>
      <c r="H848" t="str">
        <f>_xlfn.XLOOKUP(TRIM(D848),對應!D:D,對應!E:E,"未對應")</f>
        <v>1網通+技鋼</v>
      </c>
    </row>
    <row r="849" spans="1:8" x14ac:dyDescent="0.4">
      <c r="A849" t="s">
        <v>41</v>
      </c>
      <c r="B849">
        <v>2025</v>
      </c>
      <c r="C849">
        <v>5</v>
      </c>
      <c r="D849" t="s">
        <v>32</v>
      </c>
      <c r="E849" t="s">
        <v>16</v>
      </c>
      <c r="F849">
        <v>-54517729</v>
      </c>
      <c r="G849" s="3" t="s">
        <v>32</v>
      </c>
      <c r="H849" t="str">
        <f>_xlfn.XLOOKUP(TRIM(D849),對應!D:D,對應!E:E,"未對應")</f>
        <v>5百事益</v>
      </c>
    </row>
    <row r="850" spans="1:8" x14ac:dyDescent="0.4">
      <c r="A850" t="s">
        <v>41</v>
      </c>
      <c r="B850">
        <v>2025</v>
      </c>
      <c r="C850">
        <v>5</v>
      </c>
      <c r="D850" t="s">
        <v>8</v>
      </c>
      <c r="E850" t="s">
        <v>33</v>
      </c>
      <c r="F850">
        <v>-160365701</v>
      </c>
      <c r="G850" s="3" t="s">
        <v>9</v>
      </c>
      <c r="H850" t="str">
        <f>_xlfn.XLOOKUP(TRIM(D850),對應!D:D,對應!E:E,"未對應")</f>
        <v>1網通+技鋼</v>
      </c>
    </row>
    <row r="851" spans="1:8" x14ac:dyDescent="0.4">
      <c r="A851" t="s">
        <v>41</v>
      </c>
      <c r="B851">
        <v>2025</v>
      </c>
      <c r="C851">
        <v>5</v>
      </c>
      <c r="D851" t="s">
        <v>8</v>
      </c>
      <c r="E851" t="s">
        <v>33</v>
      </c>
      <c r="F851">
        <v>-2879187</v>
      </c>
      <c r="G851" s="3" t="s">
        <v>9</v>
      </c>
      <c r="H851" t="str">
        <f>_xlfn.XLOOKUP(TRIM(D851),對應!D:D,對應!E:E,"未對應")</f>
        <v>1網通+技鋼</v>
      </c>
    </row>
    <row r="852" spans="1:8" x14ac:dyDescent="0.4">
      <c r="A852" t="s">
        <v>41</v>
      </c>
      <c r="B852">
        <v>2025</v>
      </c>
      <c r="C852">
        <v>6</v>
      </c>
      <c r="D852" t="s">
        <v>8</v>
      </c>
      <c r="E852" t="s">
        <v>33</v>
      </c>
      <c r="F852">
        <v>-32510794</v>
      </c>
      <c r="G852" s="3" t="s">
        <v>9</v>
      </c>
      <c r="H852" t="str">
        <f>_xlfn.XLOOKUP(TRIM(D852),對應!D:D,對應!E:E,"未對應")</f>
        <v>1網通+技鋼</v>
      </c>
    </row>
    <row r="853" spans="1:8" x14ac:dyDescent="0.4">
      <c r="A853" t="s">
        <v>23</v>
      </c>
      <c r="B853">
        <v>2025</v>
      </c>
      <c r="C853">
        <v>8</v>
      </c>
      <c r="D853" t="s">
        <v>10</v>
      </c>
      <c r="E853" t="s">
        <v>11</v>
      </c>
      <c r="F853">
        <v>-2216897</v>
      </c>
      <c r="G853" s="3" t="s">
        <v>12</v>
      </c>
      <c r="H853" t="str">
        <f>_xlfn.XLOOKUP(TRIM(D853),對應!D:D,對應!E:E,"未對應")</f>
        <v>3通路方案</v>
      </c>
    </row>
    <row r="854" spans="1:8" x14ac:dyDescent="0.4">
      <c r="A854" t="s">
        <v>23</v>
      </c>
      <c r="B854">
        <v>2025</v>
      </c>
      <c r="C854">
        <v>8</v>
      </c>
      <c r="D854" t="s">
        <v>10</v>
      </c>
      <c r="E854" t="s">
        <v>26</v>
      </c>
      <c r="F854">
        <v>-3752056</v>
      </c>
      <c r="G854" s="3" t="s">
        <v>14</v>
      </c>
      <c r="H854" t="str">
        <f>_xlfn.XLOOKUP(TRIM(D854),對應!D:D,對應!E:E,"未對應")</f>
        <v>3通路方案</v>
      </c>
    </row>
    <row r="855" spans="1:8" x14ac:dyDescent="0.4">
      <c r="A855" t="s">
        <v>23</v>
      </c>
      <c r="B855">
        <v>2025</v>
      </c>
      <c r="C855">
        <v>8</v>
      </c>
      <c r="D855" t="s">
        <v>10</v>
      </c>
      <c r="E855" t="s">
        <v>21</v>
      </c>
      <c r="F855">
        <v>-1911658346</v>
      </c>
      <c r="G855" s="3" t="s">
        <v>22</v>
      </c>
      <c r="H855" t="str">
        <f>_xlfn.XLOOKUP(TRIM(D855),對應!D:D,對應!E:E,"未對應")</f>
        <v>3通路方案</v>
      </c>
    </row>
    <row r="856" spans="1:8" x14ac:dyDescent="0.4">
      <c r="A856" t="s">
        <v>23</v>
      </c>
      <c r="B856">
        <v>2025</v>
      </c>
      <c r="C856">
        <v>8</v>
      </c>
      <c r="D856" t="s">
        <v>8</v>
      </c>
      <c r="E856" t="s">
        <v>33</v>
      </c>
      <c r="F856">
        <v>140644</v>
      </c>
      <c r="G856" s="3" t="s">
        <v>9</v>
      </c>
      <c r="H856" t="str">
        <f>_xlfn.XLOOKUP(TRIM(D856),對應!D:D,對應!E:E,"未對應")</f>
        <v>1網通+技鋼</v>
      </c>
    </row>
    <row r="857" spans="1:8" x14ac:dyDescent="0.4">
      <c r="A857" t="s">
        <v>23</v>
      </c>
      <c r="B857">
        <v>2025</v>
      </c>
      <c r="C857">
        <v>8</v>
      </c>
      <c r="D857" t="s">
        <v>15</v>
      </c>
      <c r="E857" t="s">
        <v>16</v>
      </c>
      <c r="F857">
        <v>-5356453</v>
      </c>
      <c r="G857" s="3" t="s">
        <v>16</v>
      </c>
      <c r="H857" t="str">
        <f>_xlfn.XLOOKUP(TRIM(D857),對應!D:D,對應!E:E,"未對應")</f>
        <v>7製造</v>
      </c>
    </row>
    <row r="858" spans="1:8" x14ac:dyDescent="0.4">
      <c r="A858" t="s">
        <v>43</v>
      </c>
      <c r="B858">
        <v>2025</v>
      </c>
      <c r="C858">
        <v>4</v>
      </c>
      <c r="D858" t="s">
        <v>10</v>
      </c>
      <c r="E858" t="s">
        <v>24</v>
      </c>
      <c r="F858">
        <v>1275892463</v>
      </c>
      <c r="G858" s="3" t="s">
        <v>14</v>
      </c>
      <c r="H858" t="str">
        <f>_xlfn.XLOOKUP(TRIM(D858),對應!D:D,對應!E:E,"未對應")</f>
        <v>3通路方案</v>
      </c>
    </row>
    <row r="859" spans="1:8" x14ac:dyDescent="0.4">
      <c r="A859" t="s">
        <v>43</v>
      </c>
      <c r="B859">
        <v>2025</v>
      </c>
      <c r="C859">
        <v>4</v>
      </c>
      <c r="D859" t="s">
        <v>32</v>
      </c>
      <c r="E859" t="s">
        <v>16</v>
      </c>
      <c r="F859">
        <v>3547130</v>
      </c>
      <c r="G859" s="3" t="s">
        <v>32</v>
      </c>
      <c r="H859" t="str">
        <f>_xlfn.XLOOKUP(TRIM(D859),對應!D:D,對應!E:E,"未對應")</f>
        <v>5百事益</v>
      </c>
    </row>
    <row r="860" spans="1:8" x14ac:dyDescent="0.4">
      <c r="A860" t="s">
        <v>43</v>
      </c>
      <c r="B860">
        <v>2025</v>
      </c>
      <c r="C860">
        <v>4</v>
      </c>
      <c r="D860" t="s">
        <v>17</v>
      </c>
      <c r="E860" t="s">
        <v>18</v>
      </c>
      <c r="F860">
        <v>173759172</v>
      </c>
      <c r="G860" s="3" t="s">
        <v>19</v>
      </c>
      <c r="H860" t="str">
        <f>_xlfn.XLOOKUP(TRIM(D860),對應!D:D,對應!E:E,"未對應")</f>
        <v>4筆電+盈嘉</v>
      </c>
    </row>
    <row r="861" spans="1:8" x14ac:dyDescent="0.4">
      <c r="A861" t="s">
        <v>43</v>
      </c>
      <c r="B861">
        <v>2025</v>
      </c>
      <c r="C861">
        <v>4</v>
      </c>
      <c r="D861" t="s">
        <v>10</v>
      </c>
      <c r="E861" t="s">
        <v>13</v>
      </c>
      <c r="F861">
        <v>-18627</v>
      </c>
      <c r="G861" s="3" t="s">
        <v>14</v>
      </c>
      <c r="H861" t="str">
        <f>_xlfn.XLOOKUP(TRIM(D861),對應!D:D,對應!E:E,"未對應")</f>
        <v>3通路方案</v>
      </c>
    </row>
    <row r="862" spans="1:8" x14ac:dyDescent="0.4">
      <c r="A862" t="s">
        <v>43</v>
      </c>
      <c r="B862">
        <v>2025</v>
      </c>
      <c r="C862">
        <v>4</v>
      </c>
      <c r="D862" t="s">
        <v>17</v>
      </c>
      <c r="E862" t="s">
        <v>18</v>
      </c>
      <c r="F862">
        <v>3638316</v>
      </c>
      <c r="G862" s="3" t="s">
        <v>19</v>
      </c>
      <c r="H862" t="str">
        <f>_xlfn.XLOOKUP(TRIM(D862),對應!D:D,對應!E:E,"未對應")</f>
        <v>4筆電+盈嘉</v>
      </c>
    </row>
    <row r="863" spans="1:8" x14ac:dyDescent="0.4">
      <c r="A863" t="s">
        <v>43</v>
      </c>
      <c r="B863">
        <v>2025</v>
      </c>
      <c r="C863">
        <v>5</v>
      </c>
      <c r="D863" t="s">
        <v>10</v>
      </c>
      <c r="E863" t="s">
        <v>27</v>
      </c>
      <c r="F863">
        <v>7110166</v>
      </c>
      <c r="G863" s="3" t="s">
        <v>28</v>
      </c>
      <c r="H863" t="str">
        <f>_xlfn.XLOOKUP(TRIM(D863),對應!D:D,對應!E:E,"未對應")</f>
        <v>3通路方案</v>
      </c>
    </row>
    <row r="864" spans="1:8" x14ac:dyDescent="0.4">
      <c r="A864" t="s">
        <v>43</v>
      </c>
      <c r="B864">
        <v>2025</v>
      </c>
      <c r="C864">
        <v>5</v>
      </c>
      <c r="D864" t="s">
        <v>10</v>
      </c>
      <c r="E864" t="s">
        <v>11</v>
      </c>
      <c r="F864">
        <v>8616655</v>
      </c>
      <c r="G864" s="3" t="s">
        <v>12</v>
      </c>
      <c r="H864" t="str">
        <f>_xlfn.XLOOKUP(TRIM(D864),對應!D:D,對應!E:E,"未對應")</f>
        <v>3通路方案</v>
      </c>
    </row>
    <row r="865" spans="1:8" x14ac:dyDescent="0.4">
      <c r="A865" t="s">
        <v>43</v>
      </c>
      <c r="B865">
        <v>2025</v>
      </c>
      <c r="C865">
        <v>5</v>
      </c>
      <c r="D865" t="s">
        <v>10</v>
      </c>
      <c r="E865" t="s">
        <v>27</v>
      </c>
      <c r="F865">
        <v>10896371</v>
      </c>
      <c r="G865" s="3" t="s">
        <v>28</v>
      </c>
      <c r="H865" t="str">
        <f>_xlfn.XLOOKUP(TRIM(D865),對應!D:D,對應!E:E,"未對應")</f>
        <v>3通路方案</v>
      </c>
    </row>
    <row r="866" spans="1:8" x14ac:dyDescent="0.4">
      <c r="A866" t="s">
        <v>43</v>
      </c>
      <c r="B866">
        <v>2025</v>
      </c>
      <c r="C866">
        <v>5</v>
      </c>
      <c r="D866" t="s">
        <v>10</v>
      </c>
      <c r="E866" t="s">
        <v>26</v>
      </c>
      <c r="F866">
        <v>134157</v>
      </c>
      <c r="G866" s="3" t="s">
        <v>14</v>
      </c>
      <c r="H866" t="str">
        <f>_xlfn.XLOOKUP(TRIM(D866),對應!D:D,對應!E:E,"未對應")</f>
        <v>3通路方案</v>
      </c>
    </row>
    <row r="867" spans="1:8" x14ac:dyDescent="0.4">
      <c r="A867" t="s">
        <v>43</v>
      </c>
      <c r="B867">
        <v>2025</v>
      </c>
      <c r="C867">
        <v>6</v>
      </c>
      <c r="D867" t="s">
        <v>32</v>
      </c>
      <c r="E867" t="s">
        <v>16</v>
      </c>
      <c r="F867">
        <v>7802682</v>
      </c>
      <c r="G867" s="3" t="s">
        <v>32</v>
      </c>
      <c r="H867" t="str">
        <f>_xlfn.XLOOKUP(TRIM(D867),對應!D:D,對應!E:E,"未對應")</f>
        <v>5百事益</v>
      </c>
    </row>
    <row r="868" spans="1:8" x14ac:dyDescent="0.4">
      <c r="A868" t="s">
        <v>43</v>
      </c>
      <c r="B868">
        <v>2025</v>
      </c>
      <c r="C868">
        <v>6</v>
      </c>
      <c r="D868" t="s">
        <v>10</v>
      </c>
      <c r="E868" t="s">
        <v>16</v>
      </c>
      <c r="F868">
        <v>600</v>
      </c>
      <c r="G868" s="3" t="s">
        <v>16</v>
      </c>
      <c r="H868" t="str">
        <f>_xlfn.XLOOKUP(TRIM(D868),對應!D:D,對應!E:E,"未對應")</f>
        <v>3通路方案</v>
      </c>
    </row>
    <row r="869" spans="1:8" x14ac:dyDescent="0.4">
      <c r="A869" t="s">
        <v>43</v>
      </c>
      <c r="B869">
        <v>2025</v>
      </c>
      <c r="C869">
        <v>6</v>
      </c>
      <c r="D869" t="s">
        <v>10</v>
      </c>
      <c r="E869" t="s">
        <v>21</v>
      </c>
      <c r="F869">
        <v>1516670671</v>
      </c>
      <c r="G869" s="3" t="s">
        <v>22</v>
      </c>
      <c r="H869" t="str">
        <f>_xlfn.XLOOKUP(TRIM(D869),對應!D:D,對應!E:E,"未對應")</f>
        <v>3通路方案</v>
      </c>
    </row>
    <row r="870" spans="1:8" x14ac:dyDescent="0.4">
      <c r="A870" t="s">
        <v>43</v>
      </c>
      <c r="B870">
        <v>2025</v>
      </c>
      <c r="C870">
        <v>6</v>
      </c>
      <c r="D870" t="s">
        <v>10</v>
      </c>
      <c r="E870" t="s">
        <v>16</v>
      </c>
      <c r="F870">
        <v>485728</v>
      </c>
      <c r="G870" s="3" t="s">
        <v>16</v>
      </c>
      <c r="H870" t="str">
        <f>_xlfn.XLOOKUP(TRIM(D870),對應!D:D,對應!E:E,"未對應")</f>
        <v>3通路方案</v>
      </c>
    </row>
    <row r="871" spans="1:8" x14ac:dyDescent="0.4">
      <c r="A871" t="s">
        <v>7</v>
      </c>
      <c r="B871">
        <v>2025</v>
      </c>
      <c r="C871">
        <v>9</v>
      </c>
      <c r="D871" t="s">
        <v>10</v>
      </c>
      <c r="E871" t="s">
        <v>29</v>
      </c>
      <c r="F871">
        <v>6045086</v>
      </c>
      <c r="G871" s="3" t="s">
        <v>12</v>
      </c>
      <c r="H871" t="str">
        <f>_xlfn.XLOOKUP(TRIM(D871),對應!D:D,對應!E:E,"未對應")</f>
        <v>3通路方案</v>
      </c>
    </row>
    <row r="872" spans="1:8" x14ac:dyDescent="0.4">
      <c r="A872" t="s">
        <v>7</v>
      </c>
      <c r="B872">
        <v>2025</v>
      </c>
      <c r="C872">
        <v>9</v>
      </c>
      <c r="D872" t="s">
        <v>10</v>
      </c>
      <c r="E872" t="s">
        <v>30</v>
      </c>
      <c r="F872">
        <v>7836499</v>
      </c>
      <c r="G872" s="3" t="s">
        <v>12</v>
      </c>
      <c r="H872" t="str">
        <f>_xlfn.XLOOKUP(TRIM(D872),對應!D:D,對應!E:E,"未對應")</f>
        <v>3通路方案</v>
      </c>
    </row>
    <row r="873" spans="1:8" x14ac:dyDescent="0.4">
      <c r="A873" t="s">
        <v>7</v>
      </c>
      <c r="B873">
        <v>2025</v>
      </c>
      <c r="C873">
        <v>9</v>
      </c>
      <c r="D873" t="s">
        <v>10</v>
      </c>
      <c r="E873" t="s">
        <v>20</v>
      </c>
      <c r="F873">
        <v>21291544</v>
      </c>
      <c r="G873" s="3" t="s">
        <v>12</v>
      </c>
      <c r="H873" t="str">
        <f>_xlfn.XLOOKUP(TRIM(D873),對應!D:D,對應!E:E,"未對應")</f>
        <v>3通路方案</v>
      </c>
    </row>
    <row r="874" spans="1:8" x14ac:dyDescent="0.4">
      <c r="A874" t="s">
        <v>7</v>
      </c>
      <c r="B874">
        <v>2025</v>
      </c>
      <c r="C874">
        <v>9</v>
      </c>
      <c r="D874" t="s">
        <v>10</v>
      </c>
      <c r="E874" t="s">
        <v>25</v>
      </c>
      <c r="F874">
        <v>951754</v>
      </c>
      <c r="G874" s="3" t="s">
        <v>14</v>
      </c>
      <c r="H874" t="str">
        <f>_xlfn.XLOOKUP(TRIM(D874),對應!D:D,對應!E:E,"未對應")</f>
        <v>3通路方案</v>
      </c>
    </row>
    <row r="875" spans="1:8" x14ac:dyDescent="0.4">
      <c r="A875" t="s">
        <v>7</v>
      </c>
      <c r="B875">
        <v>2025</v>
      </c>
      <c r="C875">
        <v>9</v>
      </c>
      <c r="D875" t="s">
        <v>10</v>
      </c>
      <c r="E875" t="s">
        <v>27</v>
      </c>
      <c r="F875">
        <v>291402147</v>
      </c>
      <c r="G875" s="3" t="s">
        <v>28</v>
      </c>
      <c r="H875" t="str">
        <f>_xlfn.XLOOKUP(TRIM(D875),對應!D:D,對應!E:E,"未對應")</f>
        <v>3通路方案</v>
      </c>
    </row>
    <row r="876" spans="1:8" x14ac:dyDescent="0.4">
      <c r="A876" t="s">
        <v>7</v>
      </c>
      <c r="B876">
        <v>2025</v>
      </c>
      <c r="C876">
        <v>9</v>
      </c>
      <c r="D876" t="s">
        <v>10</v>
      </c>
      <c r="E876" t="s">
        <v>16</v>
      </c>
      <c r="F876">
        <v>10865988</v>
      </c>
      <c r="G876" s="3" t="s">
        <v>16</v>
      </c>
      <c r="H876" t="str">
        <f>_xlfn.XLOOKUP(TRIM(D876),對應!D:D,對應!E:E,"未對應")</f>
        <v>3通路方案</v>
      </c>
    </row>
    <row r="877" spans="1:8" x14ac:dyDescent="0.4">
      <c r="A877" t="s">
        <v>7</v>
      </c>
      <c r="B877">
        <v>2025</v>
      </c>
      <c r="C877">
        <v>9</v>
      </c>
      <c r="D877" t="s">
        <v>10</v>
      </c>
      <c r="E877" t="s">
        <v>38</v>
      </c>
      <c r="F877">
        <v>-67331</v>
      </c>
      <c r="G877" s="3" t="s">
        <v>12</v>
      </c>
      <c r="H877" t="str">
        <f>_xlfn.XLOOKUP(TRIM(D877),對應!D:D,對應!E:E,"未對應")</f>
        <v>3通路方案</v>
      </c>
    </row>
    <row r="878" spans="1:8" x14ac:dyDescent="0.4">
      <c r="A878" t="s">
        <v>7</v>
      </c>
      <c r="B878">
        <v>2025</v>
      </c>
      <c r="C878">
        <v>9</v>
      </c>
      <c r="D878" t="s">
        <v>10</v>
      </c>
      <c r="E878" t="s">
        <v>11</v>
      </c>
      <c r="F878">
        <v>128887880</v>
      </c>
      <c r="G878" s="3" t="s">
        <v>12</v>
      </c>
      <c r="H878" t="str">
        <f>_xlfn.XLOOKUP(TRIM(D878),對應!D:D,對應!E:E,"未對應")</f>
        <v>3通路方案</v>
      </c>
    </row>
    <row r="879" spans="1:8" x14ac:dyDescent="0.4">
      <c r="A879" t="s">
        <v>7</v>
      </c>
      <c r="B879">
        <v>2025</v>
      </c>
      <c r="C879">
        <v>9</v>
      </c>
      <c r="D879" t="s">
        <v>10</v>
      </c>
      <c r="E879" t="s">
        <v>13</v>
      </c>
      <c r="F879">
        <v>-20498</v>
      </c>
      <c r="G879" s="3" t="s">
        <v>14</v>
      </c>
      <c r="H879" t="str">
        <f>_xlfn.XLOOKUP(TRIM(D879),對應!D:D,對應!E:E,"未對應")</f>
        <v>3通路方案</v>
      </c>
    </row>
    <row r="880" spans="1:8" x14ac:dyDescent="0.4">
      <c r="A880" t="s">
        <v>43</v>
      </c>
      <c r="B880">
        <v>2025</v>
      </c>
      <c r="C880">
        <v>1</v>
      </c>
      <c r="D880" t="s">
        <v>32</v>
      </c>
      <c r="E880" t="s">
        <v>16</v>
      </c>
      <c r="F880">
        <v>6198991</v>
      </c>
      <c r="G880" s="3" t="s">
        <v>32</v>
      </c>
      <c r="H880" t="str">
        <f>_xlfn.XLOOKUP(TRIM(D880),對應!D:D,對應!E:E,"未對應")</f>
        <v>5百事益</v>
      </c>
    </row>
    <row r="881" spans="1:8" x14ac:dyDescent="0.4">
      <c r="A881" t="s">
        <v>43</v>
      </c>
      <c r="B881">
        <v>2025</v>
      </c>
      <c r="C881">
        <v>2</v>
      </c>
      <c r="D881" t="s">
        <v>32</v>
      </c>
      <c r="E881" t="s">
        <v>16</v>
      </c>
      <c r="F881">
        <v>8221532</v>
      </c>
      <c r="G881" s="3" t="s">
        <v>32</v>
      </c>
      <c r="H881" t="str">
        <f>_xlfn.XLOOKUP(TRIM(D881),對應!D:D,對應!E:E,"未對應")</f>
        <v>5百事益</v>
      </c>
    </row>
    <row r="882" spans="1:8" x14ac:dyDescent="0.4">
      <c r="A882" t="s">
        <v>43</v>
      </c>
      <c r="B882">
        <v>2025</v>
      </c>
      <c r="C882">
        <v>2</v>
      </c>
      <c r="D882" t="s">
        <v>10</v>
      </c>
      <c r="E882" t="s">
        <v>26</v>
      </c>
      <c r="F882">
        <v>814395</v>
      </c>
      <c r="G882" s="3" t="s">
        <v>14</v>
      </c>
      <c r="H882" t="str">
        <f>_xlfn.XLOOKUP(TRIM(D882),對應!D:D,對應!E:E,"未對應")</f>
        <v>3通路方案</v>
      </c>
    </row>
    <row r="883" spans="1:8" x14ac:dyDescent="0.4">
      <c r="A883" t="s">
        <v>43</v>
      </c>
      <c r="B883">
        <v>2025</v>
      </c>
      <c r="C883">
        <v>2</v>
      </c>
      <c r="D883" t="s">
        <v>8</v>
      </c>
      <c r="E883" t="s">
        <v>33</v>
      </c>
      <c r="F883">
        <v>10566662</v>
      </c>
      <c r="G883" s="3" t="s">
        <v>9</v>
      </c>
      <c r="H883" t="str">
        <f>_xlfn.XLOOKUP(TRIM(D883),對應!D:D,對應!E:E,"未對應")</f>
        <v>1網通+技鋼</v>
      </c>
    </row>
    <row r="884" spans="1:8" x14ac:dyDescent="0.4">
      <c r="A884" t="s">
        <v>43</v>
      </c>
      <c r="B884">
        <v>2025</v>
      </c>
      <c r="C884">
        <v>3</v>
      </c>
      <c r="D884" t="s">
        <v>32</v>
      </c>
      <c r="E884" t="s">
        <v>16</v>
      </c>
      <c r="F884">
        <v>126240</v>
      </c>
      <c r="G884" s="3" t="s">
        <v>32</v>
      </c>
      <c r="H884" t="str">
        <f>_xlfn.XLOOKUP(TRIM(D884),對應!D:D,對應!E:E,"未對應")</f>
        <v>5百事益</v>
      </c>
    </row>
    <row r="885" spans="1:8" x14ac:dyDescent="0.4">
      <c r="A885" t="s">
        <v>43</v>
      </c>
      <c r="B885">
        <v>2025</v>
      </c>
      <c r="C885">
        <v>3</v>
      </c>
      <c r="D885" t="s">
        <v>32</v>
      </c>
      <c r="E885" t="s">
        <v>16</v>
      </c>
      <c r="F885">
        <v>4610170</v>
      </c>
      <c r="G885" s="3" t="s">
        <v>32</v>
      </c>
      <c r="H885" t="str">
        <f>_xlfn.XLOOKUP(TRIM(D885),對應!D:D,對應!E:E,"未對應")</f>
        <v>5百事益</v>
      </c>
    </row>
    <row r="886" spans="1:8" x14ac:dyDescent="0.4">
      <c r="A886" t="s">
        <v>43</v>
      </c>
      <c r="B886">
        <v>2025</v>
      </c>
      <c r="C886">
        <v>3</v>
      </c>
      <c r="D886" t="s">
        <v>10</v>
      </c>
      <c r="E886" t="s">
        <v>25</v>
      </c>
      <c r="F886">
        <v>-133</v>
      </c>
      <c r="G886" s="3" t="s">
        <v>14</v>
      </c>
      <c r="H886" t="str">
        <f>_xlfn.XLOOKUP(TRIM(D886),對應!D:D,對應!E:E,"未對應")</f>
        <v>3通路方案</v>
      </c>
    </row>
    <row r="887" spans="1:8" x14ac:dyDescent="0.4">
      <c r="A887" t="s">
        <v>43</v>
      </c>
      <c r="B887">
        <v>2025</v>
      </c>
      <c r="C887">
        <v>3</v>
      </c>
      <c r="D887" t="s">
        <v>10</v>
      </c>
      <c r="E887" t="s">
        <v>47</v>
      </c>
      <c r="F887">
        <v>1161</v>
      </c>
      <c r="G887" s="3" t="s">
        <v>14</v>
      </c>
      <c r="H887" t="str">
        <f>_xlfn.XLOOKUP(TRIM(D887),對應!D:D,對應!E:E,"未對應")</f>
        <v>3通路方案</v>
      </c>
    </row>
    <row r="888" spans="1:8" x14ac:dyDescent="0.4">
      <c r="A888" t="s">
        <v>43</v>
      </c>
      <c r="B888">
        <v>2025</v>
      </c>
      <c r="C888">
        <v>3</v>
      </c>
      <c r="D888" t="s">
        <v>10</v>
      </c>
      <c r="E888" t="s">
        <v>13</v>
      </c>
      <c r="F888">
        <v>-145702</v>
      </c>
      <c r="G888" s="3" t="s">
        <v>14</v>
      </c>
      <c r="H888" t="str">
        <f>_xlfn.XLOOKUP(TRIM(D888),對應!D:D,對應!E:E,"未對應")</f>
        <v>3通路方案</v>
      </c>
    </row>
    <row r="889" spans="1:8" x14ac:dyDescent="0.4">
      <c r="A889" t="s">
        <v>43</v>
      </c>
      <c r="B889">
        <v>2025</v>
      </c>
      <c r="C889">
        <v>3</v>
      </c>
      <c r="D889" t="s">
        <v>10</v>
      </c>
      <c r="E889" t="s">
        <v>16</v>
      </c>
      <c r="F889">
        <v>19988462</v>
      </c>
      <c r="G889" s="3" t="s">
        <v>16</v>
      </c>
      <c r="H889" t="str">
        <f>_xlfn.XLOOKUP(TRIM(D889),對應!D:D,對應!E:E,"未對應")</f>
        <v>3通路方案</v>
      </c>
    </row>
    <row r="890" spans="1:8" x14ac:dyDescent="0.4">
      <c r="A890" t="s">
        <v>43</v>
      </c>
      <c r="B890">
        <v>2025</v>
      </c>
      <c r="C890">
        <v>3</v>
      </c>
      <c r="D890" t="s">
        <v>10</v>
      </c>
      <c r="E890" t="s">
        <v>26</v>
      </c>
      <c r="F890">
        <v>1255607</v>
      </c>
      <c r="G890" s="3" t="s">
        <v>14</v>
      </c>
      <c r="H890" t="str">
        <f>_xlfn.XLOOKUP(TRIM(D890),對應!D:D,對應!E:E,"未對應")</f>
        <v>3通路方案</v>
      </c>
    </row>
    <row r="891" spans="1:8" x14ac:dyDescent="0.4">
      <c r="A891" t="s">
        <v>43</v>
      </c>
      <c r="B891">
        <v>2025</v>
      </c>
      <c r="C891">
        <v>3</v>
      </c>
      <c r="D891" t="s">
        <v>17</v>
      </c>
      <c r="E891" t="s">
        <v>18</v>
      </c>
      <c r="F891">
        <v>-121413</v>
      </c>
      <c r="G891" s="3" t="s">
        <v>19</v>
      </c>
      <c r="H891" t="str">
        <f>_xlfn.XLOOKUP(TRIM(D891),對應!D:D,對應!E:E,"未對應")</f>
        <v>4筆電+盈嘉</v>
      </c>
    </row>
    <row r="892" spans="1:8" x14ac:dyDescent="0.4">
      <c r="A892" t="s">
        <v>43</v>
      </c>
      <c r="B892">
        <v>2025</v>
      </c>
      <c r="C892">
        <v>3</v>
      </c>
      <c r="D892" t="s">
        <v>10</v>
      </c>
      <c r="E892" t="s">
        <v>30</v>
      </c>
      <c r="F892">
        <v>5044</v>
      </c>
      <c r="G892" s="3" t="s">
        <v>12</v>
      </c>
      <c r="H892" t="str">
        <f>_xlfn.XLOOKUP(TRIM(D892),對應!D:D,對應!E:E,"未對應")</f>
        <v>3通路方案</v>
      </c>
    </row>
    <row r="893" spans="1:8" x14ac:dyDescent="0.4">
      <c r="A893" t="s">
        <v>43</v>
      </c>
      <c r="B893">
        <v>2025</v>
      </c>
      <c r="C893">
        <v>4</v>
      </c>
      <c r="D893" t="s">
        <v>10</v>
      </c>
      <c r="E893" t="s">
        <v>21</v>
      </c>
      <c r="F893">
        <v>2837387314</v>
      </c>
      <c r="G893" s="3" t="s">
        <v>22</v>
      </c>
      <c r="H893" t="str">
        <f>_xlfn.XLOOKUP(TRIM(D893),對應!D:D,對應!E:E,"未對應")</f>
        <v>3通路方案</v>
      </c>
    </row>
    <row r="894" spans="1:8" x14ac:dyDescent="0.4">
      <c r="A894" t="s">
        <v>43</v>
      </c>
      <c r="B894">
        <v>2025</v>
      </c>
      <c r="C894">
        <v>4</v>
      </c>
      <c r="D894" t="s">
        <v>8</v>
      </c>
      <c r="E894" t="s">
        <v>33</v>
      </c>
      <c r="F894">
        <v>40113088</v>
      </c>
      <c r="G894" s="3" t="s">
        <v>9</v>
      </c>
      <c r="H894" t="str">
        <f>_xlfn.XLOOKUP(TRIM(D894),對應!D:D,對應!E:E,"未對應")</f>
        <v>1網通+技鋼</v>
      </c>
    </row>
    <row r="895" spans="1:8" x14ac:dyDescent="0.4">
      <c r="A895" t="s">
        <v>43</v>
      </c>
      <c r="B895">
        <v>2025</v>
      </c>
      <c r="C895">
        <v>4</v>
      </c>
      <c r="D895" t="s">
        <v>10</v>
      </c>
      <c r="E895" t="s">
        <v>27</v>
      </c>
      <c r="F895">
        <v>29225567</v>
      </c>
      <c r="G895" s="3" t="s">
        <v>28</v>
      </c>
      <c r="H895" t="str">
        <f>_xlfn.XLOOKUP(TRIM(D895),對應!D:D,對應!E:E,"未對應")</f>
        <v>3通路方案</v>
      </c>
    </row>
    <row r="896" spans="1:8" x14ac:dyDescent="0.4">
      <c r="A896" t="s">
        <v>43</v>
      </c>
      <c r="B896">
        <v>2025</v>
      </c>
      <c r="C896">
        <v>4</v>
      </c>
      <c r="D896" t="s">
        <v>32</v>
      </c>
      <c r="E896" t="s">
        <v>16</v>
      </c>
      <c r="F896">
        <v>6040199</v>
      </c>
      <c r="G896" s="3" t="s">
        <v>32</v>
      </c>
      <c r="H896" t="str">
        <f>_xlfn.XLOOKUP(TRIM(D896),對應!D:D,對應!E:E,"未對應")</f>
        <v>5百事益</v>
      </c>
    </row>
    <row r="897" spans="1:8" x14ac:dyDescent="0.4">
      <c r="A897" t="s">
        <v>41</v>
      </c>
      <c r="B897">
        <v>2025</v>
      </c>
      <c r="C897">
        <v>2</v>
      </c>
      <c r="D897" t="s">
        <v>39</v>
      </c>
      <c r="E897" t="s">
        <v>40</v>
      </c>
      <c r="F897">
        <v>-407413</v>
      </c>
      <c r="G897" s="3" t="s">
        <v>42</v>
      </c>
      <c r="H897" t="str">
        <f>_xlfn.XLOOKUP(TRIM(D897),對應!D:D,對應!E:E,"未對應")</f>
        <v>2技宸</v>
      </c>
    </row>
    <row r="898" spans="1:8" x14ac:dyDescent="0.4">
      <c r="A898" t="s">
        <v>41</v>
      </c>
      <c r="B898">
        <v>2025</v>
      </c>
      <c r="C898">
        <v>2</v>
      </c>
      <c r="D898" t="s">
        <v>8</v>
      </c>
      <c r="E898" t="s">
        <v>33</v>
      </c>
      <c r="F898">
        <v>-839875664</v>
      </c>
      <c r="G898" s="3" t="s">
        <v>9</v>
      </c>
      <c r="H898" t="str">
        <f>_xlfn.XLOOKUP(TRIM(D898),對應!D:D,對應!E:E,"未對應")</f>
        <v>1網通+技鋼</v>
      </c>
    </row>
    <row r="899" spans="1:8" x14ac:dyDescent="0.4">
      <c r="A899" t="s">
        <v>41</v>
      </c>
      <c r="B899">
        <v>2025</v>
      </c>
      <c r="C899">
        <v>2</v>
      </c>
      <c r="D899" t="s">
        <v>37</v>
      </c>
      <c r="E899" t="s">
        <v>16</v>
      </c>
      <c r="F899">
        <v>-222660</v>
      </c>
      <c r="G899" s="3" t="s">
        <v>37</v>
      </c>
      <c r="H899" t="str">
        <f>_xlfn.XLOOKUP(TRIM(D899),對應!D:D,對應!E:E,"未對應")</f>
        <v>6雲城</v>
      </c>
    </row>
    <row r="900" spans="1:8" x14ac:dyDescent="0.4">
      <c r="A900" t="s">
        <v>41</v>
      </c>
      <c r="B900">
        <v>2025</v>
      </c>
      <c r="C900">
        <v>4</v>
      </c>
      <c r="D900" t="s">
        <v>32</v>
      </c>
      <c r="E900" t="s">
        <v>16</v>
      </c>
      <c r="F900">
        <v>-37865</v>
      </c>
      <c r="G900" s="3" t="s">
        <v>32</v>
      </c>
      <c r="H900" t="str">
        <f>_xlfn.XLOOKUP(TRIM(D900),對應!D:D,對應!E:E,"未對應")</f>
        <v>5百事益</v>
      </c>
    </row>
    <row r="901" spans="1:8" x14ac:dyDescent="0.4">
      <c r="A901" t="s">
        <v>41</v>
      </c>
      <c r="B901">
        <v>2025</v>
      </c>
      <c r="C901">
        <v>4</v>
      </c>
      <c r="D901" t="s">
        <v>8</v>
      </c>
      <c r="E901" t="s">
        <v>33</v>
      </c>
      <c r="F901">
        <v>-582437018</v>
      </c>
      <c r="G901" s="3" t="s">
        <v>9</v>
      </c>
      <c r="H901" t="str">
        <f>_xlfn.XLOOKUP(TRIM(D901),對應!D:D,對應!E:E,"未對應")</f>
        <v>1網通+技鋼</v>
      </c>
    </row>
    <row r="902" spans="1:8" x14ac:dyDescent="0.4">
      <c r="A902" t="s">
        <v>41</v>
      </c>
      <c r="B902">
        <v>2025</v>
      </c>
      <c r="C902">
        <v>5</v>
      </c>
      <c r="D902" t="s">
        <v>32</v>
      </c>
      <c r="E902" t="s">
        <v>16</v>
      </c>
      <c r="F902">
        <v>-11032792</v>
      </c>
      <c r="G902" s="3" t="s">
        <v>32</v>
      </c>
      <c r="H902" t="str">
        <f>_xlfn.XLOOKUP(TRIM(D902),對應!D:D,對應!E:E,"未對應")</f>
        <v>5百事益</v>
      </c>
    </row>
    <row r="903" spans="1:8" x14ac:dyDescent="0.4">
      <c r="A903" t="s">
        <v>41</v>
      </c>
      <c r="B903">
        <v>2025</v>
      </c>
      <c r="C903">
        <v>5</v>
      </c>
      <c r="D903" t="s">
        <v>8</v>
      </c>
      <c r="E903" t="s">
        <v>33</v>
      </c>
      <c r="F903">
        <v>-15520497</v>
      </c>
      <c r="G903" s="3" t="s">
        <v>9</v>
      </c>
      <c r="H903" t="str">
        <f>_xlfn.XLOOKUP(TRIM(D903),對應!D:D,對應!E:E,"未對應")</f>
        <v>1網通+技鋼</v>
      </c>
    </row>
    <row r="904" spans="1:8" x14ac:dyDescent="0.4">
      <c r="A904" t="s">
        <v>41</v>
      </c>
      <c r="B904">
        <v>2025</v>
      </c>
      <c r="C904">
        <v>5</v>
      </c>
      <c r="D904" t="s">
        <v>8</v>
      </c>
      <c r="E904" t="s">
        <v>33</v>
      </c>
      <c r="F904">
        <v>-21776384</v>
      </c>
      <c r="G904" s="3" t="s">
        <v>9</v>
      </c>
      <c r="H904" t="str">
        <f>_xlfn.XLOOKUP(TRIM(D904),對應!D:D,對應!E:E,"未對應")</f>
        <v>1網通+技鋼</v>
      </c>
    </row>
    <row r="905" spans="1:8" x14ac:dyDescent="0.4">
      <c r="A905" t="s">
        <v>41</v>
      </c>
      <c r="B905">
        <v>2025</v>
      </c>
      <c r="C905">
        <v>6</v>
      </c>
      <c r="D905" t="s">
        <v>32</v>
      </c>
      <c r="E905" t="s">
        <v>16</v>
      </c>
      <c r="F905">
        <v>-55770409</v>
      </c>
      <c r="G905" s="3" t="s">
        <v>32</v>
      </c>
      <c r="H905" t="str">
        <f>_xlfn.XLOOKUP(TRIM(D905),對應!D:D,對應!E:E,"未對應")</f>
        <v>5百事益</v>
      </c>
    </row>
    <row r="906" spans="1:8" x14ac:dyDescent="0.4">
      <c r="A906" t="s">
        <v>41</v>
      </c>
      <c r="B906">
        <v>2025</v>
      </c>
      <c r="C906">
        <v>6</v>
      </c>
      <c r="D906" t="s">
        <v>32</v>
      </c>
      <c r="E906" t="s">
        <v>16</v>
      </c>
      <c r="F906">
        <v>-132733</v>
      </c>
      <c r="G906" s="3" t="s">
        <v>32</v>
      </c>
      <c r="H906" t="str">
        <f>_xlfn.XLOOKUP(TRIM(D906),對應!D:D,對應!E:E,"未對應")</f>
        <v>5百事益</v>
      </c>
    </row>
    <row r="907" spans="1:8" x14ac:dyDescent="0.4">
      <c r="A907" t="s">
        <v>41</v>
      </c>
      <c r="B907">
        <v>2025</v>
      </c>
      <c r="C907">
        <v>6</v>
      </c>
      <c r="D907" t="s">
        <v>39</v>
      </c>
      <c r="E907" t="s">
        <v>40</v>
      </c>
      <c r="F907">
        <v>-16130</v>
      </c>
      <c r="G907" s="3" t="s">
        <v>42</v>
      </c>
      <c r="H907" t="str">
        <f>_xlfn.XLOOKUP(TRIM(D907),對應!D:D,對應!E:E,"未對應")</f>
        <v>2技宸</v>
      </c>
    </row>
    <row r="908" spans="1:8" x14ac:dyDescent="0.4">
      <c r="A908" t="s">
        <v>41</v>
      </c>
      <c r="B908">
        <v>2025</v>
      </c>
      <c r="C908">
        <v>6</v>
      </c>
      <c r="D908" t="s">
        <v>39</v>
      </c>
      <c r="E908" t="s">
        <v>40</v>
      </c>
      <c r="F908">
        <v>-7382247</v>
      </c>
      <c r="G908" s="3" t="s">
        <v>42</v>
      </c>
      <c r="H908" t="str">
        <f>_xlfn.XLOOKUP(TRIM(D908),對應!D:D,對應!E:E,"未對應")</f>
        <v>2技宸</v>
      </c>
    </row>
    <row r="909" spans="1:8" x14ac:dyDescent="0.4">
      <c r="A909" t="s">
        <v>41</v>
      </c>
      <c r="B909">
        <v>2025</v>
      </c>
      <c r="C909">
        <v>6</v>
      </c>
      <c r="D909" t="s">
        <v>8</v>
      </c>
      <c r="E909" t="s">
        <v>33</v>
      </c>
      <c r="F909">
        <v>-125901</v>
      </c>
      <c r="G909" s="3" t="s">
        <v>9</v>
      </c>
      <c r="H909" t="str">
        <f>_xlfn.XLOOKUP(TRIM(D909),對應!D:D,對應!E:E,"未對應")</f>
        <v>1網通+技鋼</v>
      </c>
    </row>
    <row r="910" spans="1:8" x14ac:dyDescent="0.4">
      <c r="A910" t="s">
        <v>41</v>
      </c>
      <c r="B910">
        <v>2025</v>
      </c>
      <c r="C910">
        <v>6</v>
      </c>
      <c r="D910" t="s">
        <v>8</v>
      </c>
      <c r="E910" t="s">
        <v>33</v>
      </c>
      <c r="F910">
        <v>-220727</v>
      </c>
      <c r="G910" s="3" t="s">
        <v>9</v>
      </c>
      <c r="H910" t="str">
        <f>_xlfn.XLOOKUP(TRIM(D910),對應!D:D,對應!E:E,"未對應")</f>
        <v>1網通+技鋼</v>
      </c>
    </row>
    <row r="911" spans="1:8" x14ac:dyDescent="0.4">
      <c r="A911" t="s">
        <v>36</v>
      </c>
      <c r="B911">
        <v>2025</v>
      </c>
      <c r="C911">
        <v>1</v>
      </c>
      <c r="D911" t="s">
        <v>17</v>
      </c>
      <c r="E911" t="s">
        <v>18</v>
      </c>
      <c r="F911">
        <v>7165045</v>
      </c>
      <c r="G911" s="3" t="s">
        <v>19</v>
      </c>
      <c r="H911" t="str">
        <f>_xlfn.XLOOKUP(TRIM(D911),對應!D:D,對應!E:E,"未對應")</f>
        <v>4筆電+盈嘉</v>
      </c>
    </row>
    <row r="912" spans="1:8" x14ac:dyDescent="0.4">
      <c r="A912" t="s">
        <v>36</v>
      </c>
      <c r="B912">
        <v>2025</v>
      </c>
      <c r="C912">
        <v>1</v>
      </c>
      <c r="D912" t="s">
        <v>15</v>
      </c>
      <c r="E912" t="s">
        <v>16</v>
      </c>
      <c r="F912">
        <v>3219737</v>
      </c>
      <c r="G912" s="3" t="s">
        <v>16</v>
      </c>
      <c r="H912" t="str">
        <f>_xlfn.XLOOKUP(TRIM(D912),對應!D:D,對應!E:E,"未對應")</f>
        <v>7製造</v>
      </c>
    </row>
    <row r="913" spans="1:8" x14ac:dyDescent="0.4">
      <c r="A913" t="s">
        <v>36</v>
      </c>
      <c r="B913">
        <v>2025</v>
      </c>
      <c r="C913">
        <v>3</v>
      </c>
      <c r="D913" t="s">
        <v>39</v>
      </c>
      <c r="E913" t="s">
        <v>40</v>
      </c>
      <c r="F913">
        <v>178650488</v>
      </c>
      <c r="G913" s="3" t="s">
        <v>42</v>
      </c>
      <c r="H913" t="str">
        <f>_xlfn.XLOOKUP(TRIM(D913),對應!D:D,對應!E:E,"未對應")</f>
        <v>2技宸</v>
      </c>
    </row>
    <row r="914" spans="1:8" x14ac:dyDescent="0.4">
      <c r="A914" t="s">
        <v>36</v>
      </c>
      <c r="B914">
        <v>2025</v>
      </c>
      <c r="C914">
        <v>4</v>
      </c>
      <c r="D914" t="s">
        <v>8</v>
      </c>
      <c r="E914" t="s">
        <v>33</v>
      </c>
      <c r="F914">
        <v>16050153418</v>
      </c>
      <c r="G914" s="3" t="s">
        <v>9</v>
      </c>
      <c r="H914" t="str">
        <f>_xlfn.XLOOKUP(TRIM(D914),對應!D:D,對應!E:E,"未對應")</f>
        <v>1網通+技鋼</v>
      </c>
    </row>
    <row r="915" spans="1:8" x14ac:dyDescent="0.4">
      <c r="A915" t="s">
        <v>36</v>
      </c>
      <c r="B915">
        <v>2025</v>
      </c>
      <c r="C915">
        <v>4</v>
      </c>
      <c r="D915" t="s">
        <v>17</v>
      </c>
      <c r="E915" t="s">
        <v>18</v>
      </c>
      <c r="F915">
        <v>93027249</v>
      </c>
      <c r="G915" s="3" t="s">
        <v>19</v>
      </c>
      <c r="H915" t="str">
        <f>_xlfn.XLOOKUP(TRIM(D915),對應!D:D,對應!E:E,"未對應")</f>
        <v>4筆電+盈嘉</v>
      </c>
    </row>
    <row r="916" spans="1:8" x14ac:dyDescent="0.4">
      <c r="A916" t="s">
        <v>36</v>
      </c>
      <c r="B916">
        <v>2025</v>
      </c>
      <c r="C916">
        <v>6</v>
      </c>
      <c r="D916" t="s">
        <v>15</v>
      </c>
      <c r="E916" t="s">
        <v>16</v>
      </c>
      <c r="F916">
        <v>340500</v>
      </c>
      <c r="G916" s="3" t="s">
        <v>16</v>
      </c>
      <c r="H916" t="str">
        <f>_xlfn.XLOOKUP(TRIM(D916),對應!D:D,對應!E:E,"未對應")</f>
        <v>7製造</v>
      </c>
    </row>
    <row r="917" spans="1:8" x14ac:dyDescent="0.4">
      <c r="A917" t="s">
        <v>43</v>
      </c>
      <c r="B917">
        <v>2025</v>
      </c>
      <c r="C917">
        <v>1</v>
      </c>
      <c r="D917" t="s">
        <v>10</v>
      </c>
      <c r="E917" t="s">
        <v>26</v>
      </c>
      <c r="F917">
        <v>999189</v>
      </c>
      <c r="G917" s="3" t="s">
        <v>14</v>
      </c>
      <c r="H917" t="str">
        <f>_xlfn.XLOOKUP(TRIM(D917),對應!D:D,對應!E:E,"未對應")</f>
        <v>3通路方案</v>
      </c>
    </row>
    <row r="918" spans="1:8" x14ac:dyDescent="0.4">
      <c r="A918" t="s">
        <v>43</v>
      </c>
      <c r="B918">
        <v>2025</v>
      </c>
      <c r="C918">
        <v>1</v>
      </c>
      <c r="D918" t="s">
        <v>8</v>
      </c>
      <c r="E918" t="s">
        <v>33</v>
      </c>
      <c r="F918">
        <v>6782561</v>
      </c>
      <c r="G918" s="3" t="s">
        <v>9</v>
      </c>
      <c r="H918" t="str">
        <f>_xlfn.XLOOKUP(TRIM(D918),對應!D:D,對應!E:E,"未對應")</f>
        <v>1網通+技鋼</v>
      </c>
    </row>
    <row r="919" spans="1:8" x14ac:dyDescent="0.4">
      <c r="A919" t="s">
        <v>43</v>
      </c>
      <c r="B919">
        <v>2025</v>
      </c>
      <c r="C919">
        <v>2</v>
      </c>
      <c r="D919" t="s">
        <v>10</v>
      </c>
      <c r="E919" t="s">
        <v>27</v>
      </c>
      <c r="F919">
        <v>63928816</v>
      </c>
      <c r="G919" s="3" t="s">
        <v>28</v>
      </c>
      <c r="H919" t="str">
        <f>_xlfn.XLOOKUP(TRIM(D919),對應!D:D,對應!E:E,"未對應")</f>
        <v>3通路方案</v>
      </c>
    </row>
    <row r="920" spans="1:8" x14ac:dyDescent="0.4">
      <c r="A920" t="s">
        <v>43</v>
      </c>
      <c r="B920">
        <v>2025</v>
      </c>
      <c r="C920">
        <v>2</v>
      </c>
      <c r="D920" t="s">
        <v>10</v>
      </c>
      <c r="E920" t="s">
        <v>47</v>
      </c>
      <c r="F920">
        <v>492</v>
      </c>
      <c r="G920" s="3" t="s">
        <v>14</v>
      </c>
      <c r="H920" t="str">
        <f>_xlfn.XLOOKUP(TRIM(D920),對應!D:D,對應!E:E,"未對應")</f>
        <v>3通路方案</v>
      </c>
    </row>
    <row r="921" spans="1:8" x14ac:dyDescent="0.4">
      <c r="A921" t="s">
        <v>43</v>
      </c>
      <c r="B921">
        <v>2025</v>
      </c>
      <c r="C921">
        <v>2</v>
      </c>
      <c r="D921" t="s">
        <v>10</v>
      </c>
      <c r="E921" t="s">
        <v>16</v>
      </c>
      <c r="F921">
        <v>9097573</v>
      </c>
      <c r="G921" s="3" t="s">
        <v>16</v>
      </c>
      <c r="H921" t="str">
        <f>_xlfn.XLOOKUP(TRIM(D921),對應!D:D,對應!E:E,"未對應")</f>
        <v>3通路方案</v>
      </c>
    </row>
    <row r="922" spans="1:8" x14ac:dyDescent="0.4">
      <c r="A922" t="s">
        <v>43</v>
      </c>
      <c r="B922">
        <v>2025</v>
      </c>
      <c r="C922">
        <v>2</v>
      </c>
      <c r="D922" t="s">
        <v>10</v>
      </c>
      <c r="E922" t="s">
        <v>26</v>
      </c>
      <c r="F922">
        <v>1054283</v>
      </c>
      <c r="G922" s="3" t="s">
        <v>14</v>
      </c>
      <c r="H922" t="str">
        <f>_xlfn.XLOOKUP(TRIM(D922),對應!D:D,對應!E:E,"未對應")</f>
        <v>3通路方案</v>
      </c>
    </row>
    <row r="923" spans="1:8" x14ac:dyDescent="0.4">
      <c r="A923" t="s">
        <v>43</v>
      </c>
      <c r="B923">
        <v>2025</v>
      </c>
      <c r="C923">
        <v>2</v>
      </c>
      <c r="D923" t="s">
        <v>10</v>
      </c>
      <c r="E923" t="s">
        <v>27</v>
      </c>
      <c r="F923">
        <v>3229094</v>
      </c>
      <c r="G923" s="3" t="s">
        <v>28</v>
      </c>
      <c r="H923" t="str">
        <f>_xlfn.XLOOKUP(TRIM(D923),對應!D:D,對應!E:E,"未對應")</f>
        <v>3通路方案</v>
      </c>
    </row>
    <row r="924" spans="1:8" x14ac:dyDescent="0.4">
      <c r="A924" t="s">
        <v>43</v>
      </c>
      <c r="B924">
        <v>2025</v>
      </c>
      <c r="C924">
        <v>3</v>
      </c>
      <c r="D924" t="s">
        <v>32</v>
      </c>
      <c r="E924" t="s">
        <v>16</v>
      </c>
      <c r="F924">
        <v>6770555</v>
      </c>
      <c r="G924" s="3" t="s">
        <v>32</v>
      </c>
      <c r="H924" t="str">
        <f>_xlfn.XLOOKUP(TRIM(D924),對應!D:D,對應!E:E,"未對應")</f>
        <v>5百事益</v>
      </c>
    </row>
    <row r="925" spans="1:8" x14ac:dyDescent="0.4">
      <c r="A925" t="s">
        <v>43</v>
      </c>
      <c r="B925">
        <v>2025</v>
      </c>
      <c r="C925">
        <v>3</v>
      </c>
      <c r="D925" t="s">
        <v>10</v>
      </c>
      <c r="E925" t="s">
        <v>21</v>
      </c>
      <c r="F925">
        <v>1793651239</v>
      </c>
      <c r="G925" s="3" t="s">
        <v>22</v>
      </c>
      <c r="H925" t="str">
        <f>_xlfn.XLOOKUP(TRIM(D925),對應!D:D,對應!E:E,"未對應")</f>
        <v>3通路方案</v>
      </c>
    </row>
    <row r="926" spans="1:8" x14ac:dyDescent="0.4">
      <c r="A926" t="s">
        <v>31</v>
      </c>
      <c r="B926">
        <v>2025</v>
      </c>
      <c r="C926">
        <v>10</v>
      </c>
      <c r="D926" t="s">
        <v>8</v>
      </c>
      <c r="E926" t="s">
        <v>33</v>
      </c>
      <c r="F926">
        <v>-2019594</v>
      </c>
      <c r="G926" s="3" t="s">
        <v>9</v>
      </c>
      <c r="H926" t="str">
        <f>_xlfn.XLOOKUP(TRIM(D926),對應!D:D,對應!E:E,"未對應")</f>
        <v>1網通+技鋼</v>
      </c>
    </row>
    <row r="927" spans="1:8" x14ac:dyDescent="0.4">
      <c r="A927" t="s">
        <v>31</v>
      </c>
      <c r="B927">
        <v>2025</v>
      </c>
      <c r="C927">
        <v>10</v>
      </c>
      <c r="D927" t="s">
        <v>32</v>
      </c>
      <c r="E927" t="s">
        <v>16</v>
      </c>
      <c r="F927">
        <v>-2816072</v>
      </c>
      <c r="G927" s="3" t="s">
        <v>32</v>
      </c>
      <c r="H927" t="str">
        <f>_xlfn.XLOOKUP(TRIM(D927),對應!D:D,對應!E:E,"未對應")</f>
        <v>5百事益</v>
      </c>
    </row>
    <row r="928" spans="1:8" x14ac:dyDescent="0.4">
      <c r="A928" t="s">
        <v>31</v>
      </c>
      <c r="B928">
        <v>2025</v>
      </c>
      <c r="C928">
        <v>10</v>
      </c>
      <c r="D928" t="s">
        <v>32</v>
      </c>
      <c r="E928" t="s">
        <v>16</v>
      </c>
      <c r="F928">
        <v>-14464195</v>
      </c>
      <c r="G928" s="3" t="s">
        <v>32</v>
      </c>
      <c r="H928" t="str">
        <f>_xlfn.XLOOKUP(TRIM(D928),對應!D:D,對應!E:E,"未對應")</f>
        <v>5百事益</v>
      </c>
    </row>
    <row r="929" spans="1:8" x14ac:dyDescent="0.4">
      <c r="A929" t="s">
        <v>31</v>
      </c>
      <c r="B929">
        <v>2025</v>
      </c>
      <c r="C929">
        <v>10</v>
      </c>
      <c r="D929" t="s">
        <v>32</v>
      </c>
      <c r="E929" t="s">
        <v>16</v>
      </c>
      <c r="F929">
        <v>-57193</v>
      </c>
      <c r="G929" s="3" t="s">
        <v>32</v>
      </c>
      <c r="H929" t="str">
        <f>_xlfn.XLOOKUP(TRIM(D929),對應!D:D,對應!E:E,"未對應")</f>
        <v>5百事益</v>
      </c>
    </row>
    <row r="930" spans="1:8" x14ac:dyDescent="0.4">
      <c r="A930" t="s">
        <v>31</v>
      </c>
      <c r="B930">
        <v>2025</v>
      </c>
      <c r="C930">
        <v>10</v>
      </c>
      <c r="D930" t="s">
        <v>17</v>
      </c>
      <c r="E930" t="s">
        <v>18</v>
      </c>
      <c r="F930">
        <v>-46124</v>
      </c>
      <c r="G930" s="3" t="s">
        <v>19</v>
      </c>
      <c r="H930" t="str">
        <f>_xlfn.XLOOKUP(TRIM(D930),對應!D:D,對應!E:E,"未對應")</f>
        <v>4筆電+盈嘉</v>
      </c>
    </row>
    <row r="931" spans="1:8" x14ac:dyDescent="0.4">
      <c r="A931" t="s">
        <v>31</v>
      </c>
      <c r="B931">
        <v>2025</v>
      </c>
      <c r="C931">
        <v>10</v>
      </c>
      <c r="D931" t="s">
        <v>8</v>
      </c>
      <c r="E931" t="s">
        <v>33</v>
      </c>
      <c r="F931">
        <v>-13979493</v>
      </c>
      <c r="G931" s="3" t="s">
        <v>9</v>
      </c>
      <c r="H931" t="str">
        <f>_xlfn.XLOOKUP(TRIM(D931),對應!D:D,對應!E:E,"未對應")</f>
        <v>1網通+技鋼</v>
      </c>
    </row>
    <row r="932" spans="1:8" x14ac:dyDescent="0.4">
      <c r="A932" t="s">
        <v>31</v>
      </c>
      <c r="B932">
        <v>2025</v>
      </c>
      <c r="C932">
        <v>10</v>
      </c>
      <c r="D932" t="s">
        <v>17</v>
      </c>
      <c r="E932" t="s">
        <v>18</v>
      </c>
      <c r="F932">
        <v>-4647127</v>
      </c>
      <c r="G932" s="3" t="s">
        <v>19</v>
      </c>
      <c r="H932" t="str">
        <f>_xlfn.XLOOKUP(TRIM(D932),對應!D:D,對應!E:E,"未對應")</f>
        <v>4筆電+盈嘉</v>
      </c>
    </row>
    <row r="933" spans="1:8" x14ac:dyDescent="0.4">
      <c r="A933" t="s">
        <v>31</v>
      </c>
      <c r="B933">
        <v>2025</v>
      </c>
      <c r="C933">
        <v>10</v>
      </c>
      <c r="D933" t="s">
        <v>10</v>
      </c>
      <c r="E933" t="s">
        <v>24</v>
      </c>
      <c r="F933">
        <v>-8427963</v>
      </c>
      <c r="G933" s="3" t="s">
        <v>14</v>
      </c>
      <c r="H933" t="str">
        <f>_xlfn.XLOOKUP(TRIM(D933),對應!D:D,對應!E:E,"未對應")</f>
        <v>3通路方案</v>
      </c>
    </row>
    <row r="934" spans="1:8" x14ac:dyDescent="0.4">
      <c r="A934" t="s">
        <v>31</v>
      </c>
      <c r="B934">
        <v>2025</v>
      </c>
      <c r="C934">
        <v>10</v>
      </c>
      <c r="D934" t="s">
        <v>10</v>
      </c>
      <c r="E934" t="s">
        <v>30</v>
      </c>
      <c r="F934">
        <v>-90248</v>
      </c>
      <c r="G934" s="3" t="s">
        <v>12</v>
      </c>
      <c r="H934" t="str">
        <f>_xlfn.XLOOKUP(TRIM(D934),對應!D:D,對應!E:E,"未對應")</f>
        <v>3通路方案</v>
      </c>
    </row>
    <row r="935" spans="1:8" x14ac:dyDescent="0.4">
      <c r="A935" t="s">
        <v>31</v>
      </c>
      <c r="B935">
        <v>2025</v>
      </c>
      <c r="C935">
        <v>10</v>
      </c>
      <c r="D935" t="s">
        <v>10</v>
      </c>
      <c r="E935" t="s">
        <v>25</v>
      </c>
      <c r="F935">
        <v>-62359</v>
      </c>
      <c r="G935" s="3" t="s">
        <v>14</v>
      </c>
      <c r="H935" t="str">
        <f>_xlfn.XLOOKUP(TRIM(D935),對應!D:D,對應!E:E,"未對應")</f>
        <v>3通路方案</v>
      </c>
    </row>
    <row r="936" spans="1:8" x14ac:dyDescent="0.4">
      <c r="A936" t="s">
        <v>31</v>
      </c>
      <c r="B936">
        <v>2025</v>
      </c>
      <c r="C936">
        <v>10</v>
      </c>
      <c r="D936" t="s">
        <v>10</v>
      </c>
      <c r="E936" t="s">
        <v>27</v>
      </c>
      <c r="F936">
        <v>-1799923</v>
      </c>
      <c r="G936" s="3" t="s">
        <v>28</v>
      </c>
      <c r="H936" t="str">
        <f>_xlfn.XLOOKUP(TRIM(D936),對應!D:D,對應!E:E,"未對應")</f>
        <v>3通路方案</v>
      </c>
    </row>
    <row r="937" spans="1:8" x14ac:dyDescent="0.4">
      <c r="A937" t="s">
        <v>31</v>
      </c>
      <c r="B937">
        <v>2025</v>
      </c>
      <c r="C937">
        <v>10</v>
      </c>
      <c r="D937" t="s">
        <v>10</v>
      </c>
      <c r="E937" t="s">
        <v>16</v>
      </c>
      <c r="F937">
        <v>-544411</v>
      </c>
      <c r="G937" s="3" t="s">
        <v>16</v>
      </c>
      <c r="H937" t="str">
        <f>_xlfn.XLOOKUP(TRIM(D937),對應!D:D,對應!E:E,"未對應")</f>
        <v>3通路方案</v>
      </c>
    </row>
    <row r="938" spans="1:8" x14ac:dyDescent="0.4">
      <c r="A938" t="s">
        <v>31</v>
      </c>
      <c r="B938">
        <v>2025</v>
      </c>
      <c r="C938">
        <v>10</v>
      </c>
      <c r="D938" t="s">
        <v>10</v>
      </c>
      <c r="E938" t="s">
        <v>11</v>
      </c>
      <c r="F938">
        <v>-622175</v>
      </c>
      <c r="G938" s="3" t="s">
        <v>12</v>
      </c>
      <c r="H938" t="str">
        <f>_xlfn.XLOOKUP(TRIM(D938),對應!D:D,對應!E:E,"未對應")</f>
        <v>3通路方案</v>
      </c>
    </row>
    <row r="939" spans="1:8" x14ac:dyDescent="0.4">
      <c r="A939" t="s">
        <v>31</v>
      </c>
      <c r="B939">
        <v>2025</v>
      </c>
      <c r="C939">
        <v>10</v>
      </c>
      <c r="D939" t="s">
        <v>10</v>
      </c>
      <c r="E939" t="s">
        <v>26</v>
      </c>
      <c r="F939">
        <v>-73090</v>
      </c>
      <c r="G939" s="3" t="s">
        <v>14</v>
      </c>
      <c r="H939" t="str">
        <f>_xlfn.XLOOKUP(TRIM(D939),對應!D:D,對應!E:E,"未對應")</f>
        <v>3通路方案</v>
      </c>
    </row>
    <row r="940" spans="1:8" x14ac:dyDescent="0.4">
      <c r="A940" t="s">
        <v>31</v>
      </c>
      <c r="B940">
        <v>2025</v>
      </c>
      <c r="C940">
        <v>10</v>
      </c>
      <c r="D940" t="s">
        <v>10</v>
      </c>
      <c r="E940" t="s">
        <v>21</v>
      </c>
      <c r="F940">
        <v>-8479190</v>
      </c>
      <c r="G940" s="3" t="s">
        <v>22</v>
      </c>
      <c r="H940" t="str">
        <f>_xlfn.XLOOKUP(TRIM(D940),對應!D:D,對應!E:E,"未對應")</f>
        <v>3通路方案</v>
      </c>
    </row>
    <row r="941" spans="1:8" x14ac:dyDescent="0.4">
      <c r="A941" t="s">
        <v>31</v>
      </c>
      <c r="B941">
        <v>2025</v>
      </c>
      <c r="C941">
        <v>10</v>
      </c>
      <c r="D941" t="s">
        <v>10</v>
      </c>
      <c r="E941" t="s">
        <v>16</v>
      </c>
      <c r="F941">
        <v>-374000</v>
      </c>
      <c r="G941" s="3" t="s">
        <v>16</v>
      </c>
      <c r="H941" t="str">
        <f>_xlfn.XLOOKUP(TRIM(D941),對應!D:D,對應!E:E,"未對應")</f>
        <v>3通路方案</v>
      </c>
    </row>
    <row r="942" spans="1:8" x14ac:dyDescent="0.4">
      <c r="A942" t="s">
        <v>31</v>
      </c>
      <c r="B942">
        <v>2025</v>
      </c>
      <c r="C942">
        <v>10</v>
      </c>
      <c r="D942" t="s">
        <v>32</v>
      </c>
      <c r="E942" t="s">
        <v>16</v>
      </c>
      <c r="F942">
        <v>-30749</v>
      </c>
      <c r="G942" s="3" t="s">
        <v>32</v>
      </c>
      <c r="H942" t="str">
        <f>_xlfn.XLOOKUP(TRIM(D942),對應!D:D,對應!E:E,"未對應")</f>
        <v>5百事益</v>
      </c>
    </row>
    <row r="943" spans="1:8" x14ac:dyDescent="0.4">
      <c r="A943" t="s">
        <v>31</v>
      </c>
      <c r="B943">
        <v>2025</v>
      </c>
      <c r="C943">
        <v>10</v>
      </c>
      <c r="D943" t="s">
        <v>32</v>
      </c>
      <c r="E943" t="s">
        <v>16</v>
      </c>
      <c r="F943">
        <v>-6916342</v>
      </c>
      <c r="G943" s="3" t="s">
        <v>32</v>
      </c>
      <c r="H943" t="str">
        <f>_xlfn.XLOOKUP(TRIM(D943),對應!D:D,對應!E:E,"未對應")</f>
        <v>5百事益</v>
      </c>
    </row>
    <row r="944" spans="1:8" x14ac:dyDescent="0.4">
      <c r="A944" t="s">
        <v>31</v>
      </c>
      <c r="B944">
        <v>2025</v>
      </c>
      <c r="C944">
        <v>10</v>
      </c>
      <c r="D944" t="s">
        <v>8</v>
      </c>
      <c r="E944" t="s">
        <v>33</v>
      </c>
      <c r="F944">
        <v>-61836</v>
      </c>
      <c r="G944" s="3" t="s">
        <v>9</v>
      </c>
      <c r="H944" t="str">
        <f>_xlfn.XLOOKUP(TRIM(D944),對應!D:D,對應!E:E,"未對應")</f>
        <v>1網通+技鋼</v>
      </c>
    </row>
    <row r="945" spans="1:8" x14ac:dyDescent="0.4">
      <c r="A945" t="s">
        <v>43</v>
      </c>
      <c r="B945">
        <v>2025</v>
      </c>
      <c r="C945">
        <v>1</v>
      </c>
      <c r="D945" t="s">
        <v>10</v>
      </c>
      <c r="E945" t="s">
        <v>27</v>
      </c>
      <c r="F945">
        <v>104521090</v>
      </c>
      <c r="G945" s="3" t="s">
        <v>28</v>
      </c>
      <c r="H945" t="str">
        <f>_xlfn.XLOOKUP(TRIM(D945),對應!D:D,對應!E:E,"未對應")</f>
        <v>3通路方案</v>
      </c>
    </row>
    <row r="946" spans="1:8" x14ac:dyDescent="0.4">
      <c r="A946" t="s">
        <v>43</v>
      </c>
      <c r="B946">
        <v>2025</v>
      </c>
      <c r="C946">
        <v>1</v>
      </c>
      <c r="D946" t="s">
        <v>32</v>
      </c>
      <c r="E946" t="s">
        <v>16</v>
      </c>
      <c r="F946">
        <v>4884747</v>
      </c>
      <c r="G946" s="3" t="s">
        <v>32</v>
      </c>
      <c r="H946" t="str">
        <f>_xlfn.XLOOKUP(TRIM(D946),對應!D:D,對應!E:E,"未對應")</f>
        <v>5百事益</v>
      </c>
    </row>
    <row r="947" spans="1:8" x14ac:dyDescent="0.4">
      <c r="A947" t="s">
        <v>43</v>
      </c>
      <c r="B947">
        <v>2025</v>
      </c>
      <c r="C947">
        <v>1</v>
      </c>
      <c r="D947" t="s">
        <v>10</v>
      </c>
      <c r="E947" t="s">
        <v>16</v>
      </c>
      <c r="F947">
        <v>7349225</v>
      </c>
      <c r="G947" s="3" t="s">
        <v>16</v>
      </c>
      <c r="H947" t="str">
        <f>_xlfn.XLOOKUP(TRIM(D947),對應!D:D,對應!E:E,"未對應")</f>
        <v>3通路方案</v>
      </c>
    </row>
    <row r="948" spans="1:8" x14ac:dyDescent="0.4">
      <c r="A948" t="s">
        <v>43</v>
      </c>
      <c r="B948">
        <v>2025</v>
      </c>
      <c r="C948">
        <v>1</v>
      </c>
      <c r="D948" t="s">
        <v>10</v>
      </c>
      <c r="E948" t="s">
        <v>16</v>
      </c>
      <c r="F948">
        <v>-2745</v>
      </c>
      <c r="G948" s="3" t="s">
        <v>16</v>
      </c>
      <c r="H948" t="str">
        <f>_xlfn.XLOOKUP(TRIM(D948),對應!D:D,對應!E:E,"未對應")</f>
        <v>3通路方案</v>
      </c>
    </row>
    <row r="949" spans="1:8" x14ac:dyDescent="0.4">
      <c r="A949" t="s">
        <v>43</v>
      </c>
      <c r="B949">
        <v>2025</v>
      </c>
      <c r="C949">
        <v>2</v>
      </c>
      <c r="D949" t="s">
        <v>32</v>
      </c>
      <c r="E949" t="s">
        <v>16</v>
      </c>
      <c r="F949">
        <v>4728265</v>
      </c>
      <c r="G949" s="3" t="s">
        <v>32</v>
      </c>
      <c r="H949" t="str">
        <f>_xlfn.XLOOKUP(TRIM(D949),對應!D:D,對應!E:E,"未對應")</f>
        <v>5百事益</v>
      </c>
    </row>
    <row r="950" spans="1:8" x14ac:dyDescent="0.4">
      <c r="A950" t="s">
        <v>43</v>
      </c>
      <c r="B950">
        <v>2025</v>
      </c>
      <c r="C950">
        <v>2</v>
      </c>
      <c r="D950" t="s">
        <v>8</v>
      </c>
      <c r="E950" t="s">
        <v>33</v>
      </c>
      <c r="F950">
        <v>5501442</v>
      </c>
      <c r="G950" s="3" t="s">
        <v>9</v>
      </c>
      <c r="H950" t="str">
        <f>_xlfn.XLOOKUP(TRIM(D950),對應!D:D,對應!E:E,"未對應")</f>
        <v>1網通+技鋼</v>
      </c>
    </row>
    <row r="951" spans="1:8" x14ac:dyDescent="0.4">
      <c r="A951" t="s">
        <v>43</v>
      </c>
      <c r="B951">
        <v>2025</v>
      </c>
      <c r="C951">
        <v>2</v>
      </c>
      <c r="D951" t="s">
        <v>8</v>
      </c>
      <c r="E951" t="s">
        <v>33</v>
      </c>
      <c r="F951">
        <v>-65640</v>
      </c>
      <c r="G951" s="3" t="s">
        <v>9</v>
      </c>
      <c r="H951" t="str">
        <f>_xlfn.XLOOKUP(TRIM(D951),對應!D:D,對應!E:E,"未對應")</f>
        <v>1網通+技鋼</v>
      </c>
    </row>
    <row r="952" spans="1:8" x14ac:dyDescent="0.4">
      <c r="A952" t="s">
        <v>43</v>
      </c>
      <c r="B952">
        <v>2025</v>
      </c>
      <c r="C952">
        <v>2</v>
      </c>
      <c r="D952" t="s">
        <v>10</v>
      </c>
      <c r="E952" t="s">
        <v>24</v>
      </c>
      <c r="F952">
        <v>12376488</v>
      </c>
      <c r="G952" s="3" t="s">
        <v>14</v>
      </c>
      <c r="H952" t="str">
        <f>_xlfn.XLOOKUP(TRIM(D952),對應!D:D,對應!E:E,"未對應")</f>
        <v>3通路方案</v>
      </c>
    </row>
    <row r="953" spans="1:8" x14ac:dyDescent="0.4">
      <c r="A953" t="s">
        <v>43</v>
      </c>
      <c r="B953">
        <v>2025</v>
      </c>
      <c r="C953">
        <v>3</v>
      </c>
      <c r="D953" t="s">
        <v>8</v>
      </c>
      <c r="E953" t="s">
        <v>33</v>
      </c>
      <c r="F953">
        <v>17473371</v>
      </c>
      <c r="G953" s="3" t="s">
        <v>9</v>
      </c>
      <c r="H953" t="str">
        <f>_xlfn.XLOOKUP(TRIM(D953),對應!D:D,對應!E:E,"未對應")</f>
        <v>1網通+技鋼</v>
      </c>
    </row>
    <row r="954" spans="1:8" x14ac:dyDescent="0.4">
      <c r="A954" t="s">
        <v>43</v>
      </c>
      <c r="B954">
        <v>2025</v>
      </c>
      <c r="C954">
        <v>3</v>
      </c>
      <c r="D954" t="s">
        <v>10</v>
      </c>
      <c r="E954" t="s">
        <v>16</v>
      </c>
      <c r="F954">
        <v>5002</v>
      </c>
      <c r="G954" s="3" t="s">
        <v>16</v>
      </c>
      <c r="H954" t="str">
        <f>_xlfn.XLOOKUP(TRIM(D954),對應!D:D,對應!E:E,"未對應")</f>
        <v>3通路方案</v>
      </c>
    </row>
    <row r="955" spans="1:8" x14ac:dyDescent="0.4">
      <c r="A955" t="s">
        <v>43</v>
      </c>
      <c r="B955">
        <v>2025</v>
      </c>
      <c r="C955">
        <v>3</v>
      </c>
      <c r="D955" t="s">
        <v>10</v>
      </c>
      <c r="E955" t="s">
        <v>27</v>
      </c>
      <c r="F955">
        <v>-1885726</v>
      </c>
      <c r="G955" s="3" t="s">
        <v>28</v>
      </c>
      <c r="H955" t="str">
        <f>_xlfn.XLOOKUP(TRIM(D955),對應!D:D,對應!E:E,"未對應")</f>
        <v>3通路方案</v>
      </c>
    </row>
    <row r="956" spans="1:8" x14ac:dyDescent="0.4">
      <c r="A956" t="s">
        <v>43</v>
      </c>
      <c r="B956">
        <v>2025</v>
      </c>
      <c r="C956">
        <v>3</v>
      </c>
      <c r="D956" t="s">
        <v>10</v>
      </c>
      <c r="E956" t="s">
        <v>11</v>
      </c>
      <c r="F956">
        <v>658490</v>
      </c>
      <c r="G956" s="3" t="s">
        <v>12</v>
      </c>
      <c r="H956" t="str">
        <f>_xlfn.XLOOKUP(TRIM(D956),對應!D:D,對應!E:E,"未對應")</f>
        <v>3通路方案</v>
      </c>
    </row>
    <row r="957" spans="1:8" x14ac:dyDescent="0.4">
      <c r="A957" t="s">
        <v>43</v>
      </c>
      <c r="B957">
        <v>2025</v>
      </c>
      <c r="C957">
        <v>3</v>
      </c>
      <c r="D957" t="s">
        <v>8</v>
      </c>
      <c r="E957" t="s">
        <v>33</v>
      </c>
      <c r="F957">
        <v>7708311</v>
      </c>
      <c r="G957" s="3" t="s">
        <v>9</v>
      </c>
      <c r="H957" t="str">
        <f>_xlfn.XLOOKUP(TRIM(D957),對應!D:D,對應!E:E,"未對應")</f>
        <v>1網通+技鋼</v>
      </c>
    </row>
    <row r="958" spans="1:8" x14ac:dyDescent="0.4">
      <c r="A958" t="s">
        <v>43</v>
      </c>
      <c r="B958">
        <v>2025</v>
      </c>
      <c r="C958">
        <v>4</v>
      </c>
      <c r="D958" t="s">
        <v>32</v>
      </c>
      <c r="E958" t="s">
        <v>16</v>
      </c>
      <c r="F958">
        <v>5952423</v>
      </c>
      <c r="G958" s="3" t="s">
        <v>32</v>
      </c>
      <c r="H958" t="str">
        <f>_xlfn.XLOOKUP(TRIM(D958),對應!D:D,對應!E:E,"未對應")</f>
        <v>5百事益</v>
      </c>
    </row>
    <row r="959" spans="1:8" x14ac:dyDescent="0.4">
      <c r="A959" t="s">
        <v>43</v>
      </c>
      <c r="B959">
        <v>2025</v>
      </c>
      <c r="C959">
        <v>4</v>
      </c>
      <c r="D959" t="s">
        <v>10</v>
      </c>
      <c r="E959" t="s">
        <v>16</v>
      </c>
      <c r="F959">
        <v>13234</v>
      </c>
      <c r="G959" s="3" t="s">
        <v>16</v>
      </c>
      <c r="H959" t="str">
        <f>_xlfn.XLOOKUP(TRIM(D959),對應!D:D,對應!E:E,"未對應")</f>
        <v>3通路方案</v>
      </c>
    </row>
    <row r="960" spans="1:8" x14ac:dyDescent="0.4">
      <c r="A960" t="s">
        <v>43</v>
      </c>
      <c r="B960">
        <v>2025</v>
      </c>
      <c r="C960">
        <v>4</v>
      </c>
      <c r="D960" t="s">
        <v>10</v>
      </c>
      <c r="E960" t="s">
        <v>16</v>
      </c>
      <c r="F960">
        <v>36083584</v>
      </c>
      <c r="G960" s="3" t="s">
        <v>16</v>
      </c>
      <c r="H960" t="str">
        <f>_xlfn.XLOOKUP(TRIM(D960),對應!D:D,對應!E:E,"未對應")</f>
        <v>3通路方案</v>
      </c>
    </row>
    <row r="961" spans="1:8" x14ac:dyDescent="0.4">
      <c r="A961" t="s">
        <v>43</v>
      </c>
      <c r="B961">
        <v>2025</v>
      </c>
      <c r="C961">
        <v>4</v>
      </c>
      <c r="D961" t="s">
        <v>10</v>
      </c>
      <c r="E961" t="s">
        <v>30</v>
      </c>
      <c r="F961">
        <v>37588</v>
      </c>
      <c r="G961" s="3" t="s">
        <v>12</v>
      </c>
      <c r="H961" t="str">
        <f>_xlfn.XLOOKUP(TRIM(D961),對應!D:D,對應!E:E,"未對應")</f>
        <v>3通路方案</v>
      </c>
    </row>
    <row r="962" spans="1:8" x14ac:dyDescent="0.4">
      <c r="A962" t="s">
        <v>43</v>
      </c>
      <c r="B962">
        <v>2025</v>
      </c>
      <c r="C962">
        <v>4</v>
      </c>
      <c r="D962" t="s">
        <v>10</v>
      </c>
      <c r="E962" t="s">
        <v>25</v>
      </c>
      <c r="F962">
        <v>42519</v>
      </c>
      <c r="G962" s="3" t="s">
        <v>14</v>
      </c>
      <c r="H962" t="str">
        <f>_xlfn.XLOOKUP(TRIM(D962),對應!D:D,對應!E:E,"未對應")</f>
        <v>3通路方案</v>
      </c>
    </row>
    <row r="963" spans="1:8" x14ac:dyDescent="0.4">
      <c r="A963" t="s">
        <v>43</v>
      </c>
      <c r="B963">
        <v>2025</v>
      </c>
      <c r="C963">
        <v>5</v>
      </c>
      <c r="D963" t="s">
        <v>32</v>
      </c>
      <c r="E963" t="s">
        <v>16</v>
      </c>
      <c r="F963">
        <v>2749228</v>
      </c>
      <c r="G963" s="3" t="s">
        <v>32</v>
      </c>
      <c r="H963" t="str">
        <f>_xlfn.XLOOKUP(TRIM(D963),對應!D:D,對應!E:E,"未對應")</f>
        <v>5百事益</v>
      </c>
    </row>
    <row r="964" spans="1:8" x14ac:dyDescent="0.4">
      <c r="A964" t="s">
        <v>43</v>
      </c>
      <c r="B964">
        <v>2025</v>
      </c>
      <c r="C964">
        <v>5</v>
      </c>
      <c r="D964" t="s">
        <v>10</v>
      </c>
      <c r="E964" t="s">
        <v>24</v>
      </c>
      <c r="F964">
        <v>244465920</v>
      </c>
      <c r="G964" s="3" t="s">
        <v>14</v>
      </c>
      <c r="H964" t="str">
        <f>_xlfn.XLOOKUP(TRIM(D964),對應!D:D,對應!E:E,"未對應")</f>
        <v>3通路方案</v>
      </c>
    </row>
    <row r="965" spans="1:8" x14ac:dyDescent="0.4">
      <c r="A965" t="s">
        <v>43</v>
      </c>
      <c r="B965">
        <v>2025</v>
      </c>
      <c r="C965">
        <v>5</v>
      </c>
      <c r="D965" t="s">
        <v>8</v>
      </c>
      <c r="E965" t="s">
        <v>33</v>
      </c>
      <c r="F965">
        <v>-599</v>
      </c>
      <c r="G965" s="3" t="s">
        <v>9</v>
      </c>
      <c r="H965" t="str">
        <f>_xlfn.XLOOKUP(TRIM(D965),對應!D:D,對應!E:E,"未對應")</f>
        <v>1網通+技鋼</v>
      </c>
    </row>
    <row r="966" spans="1:8" x14ac:dyDescent="0.4">
      <c r="A966" t="s">
        <v>43</v>
      </c>
      <c r="B966">
        <v>2025</v>
      </c>
      <c r="C966">
        <v>5</v>
      </c>
      <c r="D966" t="s">
        <v>8</v>
      </c>
      <c r="E966" t="s">
        <v>33</v>
      </c>
      <c r="F966">
        <v>54540</v>
      </c>
      <c r="G966" s="3" t="s">
        <v>9</v>
      </c>
      <c r="H966" t="str">
        <f>_xlfn.XLOOKUP(TRIM(D966),對應!D:D,對應!E:E,"未對應")</f>
        <v>1網通+技鋼</v>
      </c>
    </row>
    <row r="967" spans="1:8" x14ac:dyDescent="0.4">
      <c r="A967" t="s">
        <v>43</v>
      </c>
      <c r="B967">
        <v>2025</v>
      </c>
      <c r="C967">
        <v>5</v>
      </c>
      <c r="D967" t="s">
        <v>17</v>
      </c>
      <c r="E967" t="s">
        <v>18</v>
      </c>
      <c r="F967">
        <v>3038632</v>
      </c>
      <c r="G967" s="3" t="s">
        <v>19</v>
      </c>
      <c r="H967" t="str">
        <f>_xlfn.XLOOKUP(TRIM(D967),對應!D:D,對應!E:E,"未對應")</f>
        <v>4筆電+盈嘉</v>
      </c>
    </row>
    <row r="968" spans="1:8" x14ac:dyDescent="0.4">
      <c r="A968" t="s">
        <v>43</v>
      </c>
      <c r="B968">
        <v>2025</v>
      </c>
      <c r="C968">
        <v>5</v>
      </c>
      <c r="D968" t="s">
        <v>10</v>
      </c>
      <c r="E968" t="s">
        <v>24</v>
      </c>
      <c r="F968">
        <v>28740876</v>
      </c>
      <c r="G968" s="3" t="s">
        <v>14</v>
      </c>
      <c r="H968" t="str">
        <f>_xlfn.XLOOKUP(TRIM(D968),對應!D:D,對應!E:E,"未對應")</f>
        <v>3通路方案</v>
      </c>
    </row>
    <row r="969" spans="1:8" x14ac:dyDescent="0.4">
      <c r="A969" t="s">
        <v>43</v>
      </c>
      <c r="B969">
        <v>2025</v>
      </c>
      <c r="C969">
        <v>5</v>
      </c>
      <c r="D969" t="s">
        <v>10</v>
      </c>
      <c r="E969" t="s">
        <v>21</v>
      </c>
      <c r="F969">
        <v>71541623</v>
      </c>
      <c r="G969" s="3" t="s">
        <v>22</v>
      </c>
      <c r="H969" t="str">
        <f>_xlfn.XLOOKUP(TRIM(D969),對應!D:D,對應!E:E,"未對應")</f>
        <v>3通路方案</v>
      </c>
    </row>
    <row r="970" spans="1:8" x14ac:dyDescent="0.4">
      <c r="A970" t="s">
        <v>43</v>
      </c>
      <c r="B970">
        <v>2025</v>
      </c>
      <c r="C970">
        <v>6</v>
      </c>
      <c r="D970" t="s">
        <v>8</v>
      </c>
      <c r="E970" t="s">
        <v>33</v>
      </c>
      <c r="F970">
        <v>30722627</v>
      </c>
      <c r="G970" s="3" t="s">
        <v>9</v>
      </c>
      <c r="H970" t="str">
        <f>_xlfn.XLOOKUP(TRIM(D970),對應!D:D,對應!E:E,"未對應")</f>
        <v>1網通+技鋼</v>
      </c>
    </row>
    <row r="971" spans="1:8" x14ac:dyDescent="0.4">
      <c r="A971" t="s">
        <v>43</v>
      </c>
      <c r="B971">
        <v>2025</v>
      </c>
      <c r="C971">
        <v>6</v>
      </c>
      <c r="D971" t="s">
        <v>10</v>
      </c>
      <c r="E971" t="s">
        <v>11</v>
      </c>
      <c r="F971">
        <v>4068113</v>
      </c>
      <c r="G971" s="3" t="s">
        <v>12</v>
      </c>
      <c r="H971" t="str">
        <f>_xlfn.XLOOKUP(TRIM(D971),對應!D:D,對應!E:E,"未對應")</f>
        <v>3通路方案</v>
      </c>
    </row>
    <row r="972" spans="1:8" x14ac:dyDescent="0.4">
      <c r="A972" t="s">
        <v>43</v>
      </c>
      <c r="B972">
        <v>2025</v>
      </c>
      <c r="C972">
        <v>6</v>
      </c>
      <c r="D972" t="s">
        <v>8</v>
      </c>
      <c r="E972" t="s">
        <v>33</v>
      </c>
      <c r="F972">
        <v>7832410</v>
      </c>
      <c r="G972" s="3" t="s">
        <v>9</v>
      </c>
      <c r="H972" t="str">
        <f>_xlfn.XLOOKUP(TRIM(D972),對應!D:D,對應!E:E,"未對應")</f>
        <v>1網通+技鋼</v>
      </c>
    </row>
    <row r="973" spans="1:8" x14ac:dyDescent="0.4">
      <c r="A973" t="s">
        <v>43</v>
      </c>
      <c r="B973">
        <v>2025</v>
      </c>
      <c r="C973">
        <v>8</v>
      </c>
      <c r="D973" t="s">
        <v>17</v>
      </c>
      <c r="E973" t="s">
        <v>18</v>
      </c>
      <c r="F973">
        <v>229611766</v>
      </c>
      <c r="G973" s="3" t="s">
        <v>19</v>
      </c>
      <c r="H973" t="str">
        <f>_xlfn.XLOOKUP(TRIM(D973),對應!D:D,對應!E:E,"未對應")</f>
        <v>4筆電+盈嘉</v>
      </c>
    </row>
    <row r="974" spans="1:8" x14ac:dyDescent="0.4">
      <c r="A974" t="s">
        <v>43</v>
      </c>
      <c r="B974">
        <v>2025</v>
      </c>
      <c r="C974">
        <v>8</v>
      </c>
      <c r="D974" t="s">
        <v>10</v>
      </c>
      <c r="E974" t="s">
        <v>24</v>
      </c>
      <c r="F974">
        <v>414396261</v>
      </c>
      <c r="G974" s="3" t="s">
        <v>14</v>
      </c>
      <c r="H974" t="str">
        <f>_xlfn.XLOOKUP(TRIM(D974),對應!D:D,對應!E:E,"未對應")</f>
        <v>3通路方案</v>
      </c>
    </row>
    <row r="975" spans="1:8" x14ac:dyDescent="0.4">
      <c r="A975" t="s">
        <v>43</v>
      </c>
      <c r="B975">
        <v>2025</v>
      </c>
      <c r="C975">
        <v>8</v>
      </c>
      <c r="D975" t="s">
        <v>10</v>
      </c>
      <c r="E975" t="s">
        <v>30</v>
      </c>
      <c r="F975">
        <v>142313</v>
      </c>
      <c r="G975" s="3" t="s">
        <v>12</v>
      </c>
      <c r="H975" t="str">
        <f>_xlfn.XLOOKUP(TRIM(D975),對應!D:D,對應!E:E,"未對應")</f>
        <v>3通路方案</v>
      </c>
    </row>
    <row r="976" spans="1:8" x14ac:dyDescent="0.4">
      <c r="A976" t="s">
        <v>43</v>
      </c>
      <c r="B976">
        <v>2025</v>
      </c>
      <c r="C976">
        <v>8</v>
      </c>
      <c r="D976" t="s">
        <v>10</v>
      </c>
      <c r="E976" t="s">
        <v>27</v>
      </c>
      <c r="F976">
        <v>67746722</v>
      </c>
      <c r="G976" s="3" t="s">
        <v>28</v>
      </c>
      <c r="H976" t="str">
        <f>_xlfn.XLOOKUP(TRIM(D976),對應!D:D,對應!E:E,"未對應")</f>
        <v>3通路方案</v>
      </c>
    </row>
    <row r="977" spans="1:8" x14ac:dyDescent="0.4">
      <c r="A977" t="s">
        <v>43</v>
      </c>
      <c r="B977">
        <v>2025</v>
      </c>
      <c r="C977">
        <v>8</v>
      </c>
      <c r="D977" t="s">
        <v>10</v>
      </c>
      <c r="E977" t="s">
        <v>47</v>
      </c>
      <c r="F977">
        <v>1683</v>
      </c>
      <c r="G977" s="3" t="s">
        <v>14</v>
      </c>
      <c r="H977" t="str">
        <f>_xlfn.XLOOKUP(TRIM(D977),對應!D:D,對應!E:E,"未對應")</f>
        <v>3通路方案</v>
      </c>
    </row>
    <row r="978" spans="1:8" x14ac:dyDescent="0.4">
      <c r="A978" t="s">
        <v>43</v>
      </c>
      <c r="B978">
        <v>2025</v>
      </c>
      <c r="C978">
        <v>8</v>
      </c>
      <c r="D978" t="s">
        <v>10</v>
      </c>
      <c r="E978" t="s">
        <v>11</v>
      </c>
      <c r="F978">
        <v>9383179</v>
      </c>
      <c r="G978" s="3" t="s">
        <v>12</v>
      </c>
      <c r="H978" t="str">
        <f>_xlfn.XLOOKUP(TRIM(D978),對應!D:D,對應!E:E,"未對應")</f>
        <v>3通路方案</v>
      </c>
    </row>
    <row r="979" spans="1:8" x14ac:dyDescent="0.4">
      <c r="A979" t="s">
        <v>43</v>
      </c>
      <c r="B979">
        <v>2025</v>
      </c>
      <c r="C979">
        <v>3</v>
      </c>
      <c r="D979" t="s">
        <v>8</v>
      </c>
      <c r="E979" t="s">
        <v>33</v>
      </c>
      <c r="F979">
        <v>6305</v>
      </c>
      <c r="G979" s="3" t="s">
        <v>9</v>
      </c>
      <c r="H979" t="str">
        <f>_xlfn.XLOOKUP(TRIM(D979),對應!D:D,對應!E:E,"未對應")</f>
        <v>1網通+技鋼</v>
      </c>
    </row>
    <row r="980" spans="1:8" x14ac:dyDescent="0.4">
      <c r="A980" t="s">
        <v>43</v>
      </c>
      <c r="B980">
        <v>2025</v>
      </c>
      <c r="C980">
        <v>3</v>
      </c>
      <c r="D980" t="s">
        <v>8</v>
      </c>
      <c r="E980" t="s">
        <v>33</v>
      </c>
      <c r="F980">
        <v>-664</v>
      </c>
      <c r="G980" s="3" t="s">
        <v>9</v>
      </c>
      <c r="H980" t="str">
        <f>_xlfn.XLOOKUP(TRIM(D980),對應!D:D,對應!E:E,"未對應")</f>
        <v>1網通+技鋼</v>
      </c>
    </row>
    <row r="981" spans="1:8" x14ac:dyDescent="0.4">
      <c r="A981" t="s">
        <v>43</v>
      </c>
      <c r="B981">
        <v>2025</v>
      </c>
      <c r="C981">
        <v>4</v>
      </c>
      <c r="D981" t="s">
        <v>32</v>
      </c>
      <c r="E981" t="s">
        <v>16</v>
      </c>
      <c r="F981">
        <v>121739</v>
      </c>
      <c r="G981" s="3" t="s">
        <v>32</v>
      </c>
      <c r="H981" t="str">
        <f>_xlfn.XLOOKUP(TRIM(D981),對應!D:D,對應!E:E,"未對應")</f>
        <v>5百事益</v>
      </c>
    </row>
    <row r="982" spans="1:8" x14ac:dyDescent="0.4">
      <c r="A982" t="s">
        <v>43</v>
      </c>
      <c r="B982">
        <v>2025</v>
      </c>
      <c r="C982">
        <v>10</v>
      </c>
      <c r="D982" t="s">
        <v>10</v>
      </c>
      <c r="E982" t="s">
        <v>16</v>
      </c>
      <c r="F982">
        <v>24011608</v>
      </c>
      <c r="G982" s="3" t="s">
        <v>16</v>
      </c>
      <c r="H982" t="str">
        <f>_xlfn.XLOOKUP(TRIM(D982),對應!D:D,對應!E:E,"未對應")</f>
        <v>3通路方案</v>
      </c>
    </row>
    <row r="983" spans="1:8" x14ac:dyDescent="0.4">
      <c r="A983" t="s">
        <v>43</v>
      </c>
      <c r="B983">
        <v>2025</v>
      </c>
      <c r="C983">
        <v>10</v>
      </c>
      <c r="D983" t="s">
        <v>8</v>
      </c>
      <c r="E983" t="s">
        <v>33</v>
      </c>
      <c r="F983">
        <v>16085799</v>
      </c>
      <c r="G983" s="3" t="s">
        <v>9</v>
      </c>
      <c r="H983" t="str">
        <f>_xlfn.XLOOKUP(TRIM(D983),對應!D:D,對應!E:E,"未對應")</f>
        <v>1網通+技鋼</v>
      </c>
    </row>
    <row r="984" spans="1:8" x14ac:dyDescent="0.4">
      <c r="A984" t="s">
        <v>43</v>
      </c>
      <c r="B984">
        <v>2025</v>
      </c>
      <c r="C984">
        <v>10</v>
      </c>
      <c r="D984" t="s">
        <v>8</v>
      </c>
      <c r="E984" t="s">
        <v>33</v>
      </c>
      <c r="F984">
        <v>8490568</v>
      </c>
      <c r="G984" s="3" t="s">
        <v>9</v>
      </c>
      <c r="H984" t="str">
        <f>_xlfn.XLOOKUP(TRIM(D984),對應!D:D,對應!E:E,"未對應")</f>
        <v>1網通+技鋼</v>
      </c>
    </row>
    <row r="985" spans="1:8" x14ac:dyDescent="0.4">
      <c r="A985" t="s">
        <v>43</v>
      </c>
      <c r="B985">
        <v>2025</v>
      </c>
      <c r="C985">
        <v>10</v>
      </c>
      <c r="D985" t="s">
        <v>8</v>
      </c>
      <c r="E985" t="s">
        <v>33</v>
      </c>
      <c r="F985">
        <v>153330950</v>
      </c>
      <c r="G985" s="3" t="s">
        <v>9</v>
      </c>
      <c r="H985" t="str">
        <f>_xlfn.XLOOKUP(TRIM(D985),對應!D:D,對應!E:E,"未對應")</f>
        <v>1網通+技鋼</v>
      </c>
    </row>
    <row r="986" spans="1:8" x14ac:dyDescent="0.4">
      <c r="A986" t="s">
        <v>43</v>
      </c>
      <c r="B986">
        <v>2025</v>
      </c>
      <c r="C986">
        <v>10</v>
      </c>
      <c r="D986" t="s">
        <v>32</v>
      </c>
      <c r="E986" t="s">
        <v>16</v>
      </c>
      <c r="F986">
        <v>6947091</v>
      </c>
      <c r="G986" s="3" t="s">
        <v>32</v>
      </c>
      <c r="H986" t="str">
        <f>_xlfn.XLOOKUP(TRIM(D986),對應!D:D,對應!E:E,"未對應")</f>
        <v>5百事益</v>
      </c>
    </row>
    <row r="987" spans="1:8" x14ac:dyDescent="0.4">
      <c r="A987" t="s">
        <v>43</v>
      </c>
      <c r="B987">
        <v>2025</v>
      </c>
      <c r="C987">
        <v>10</v>
      </c>
      <c r="D987" t="s">
        <v>17</v>
      </c>
      <c r="E987" t="s">
        <v>18</v>
      </c>
      <c r="F987">
        <v>13515846</v>
      </c>
      <c r="G987" s="3" t="s">
        <v>19</v>
      </c>
      <c r="H987" t="str">
        <f>_xlfn.XLOOKUP(TRIM(D987),對應!D:D,對應!E:E,"未對應")</f>
        <v>4筆電+盈嘉</v>
      </c>
    </row>
    <row r="988" spans="1:8" x14ac:dyDescent="0.4">
      <c r="A988" t="s">
        <v>43</v>
      </c>
      <c r="B988">
        <v>2025</v>
      </c>
      <c r="C988">
        <v>10</v>
      </c>
      <c r="D988" t="s">
        <v>10</v>
      </c>
      <c r="E988" t="s">
        <v>24</v>
      </c>
      <c r="F988">
        <v>29133534</v>
      </c>
      <c r="G988" s="3" t="s">
        <v>14</v>
      </c>
      <c r="H988" t="str">
        <f>_xlfn.XLOOKUP(TRIM(D988),對應!D:D,對應!E:E,"未對應")</f>
        <v>3通路方案</v>
      </c>
    </row>
    <row r="989" spans="1:8" x14ac:dyDescent="0.4">
      <c r="A989" t="s">
        <v>43</v>
      </c>
      <c r="B989">
        <v>2025</v>
      </c>
      <c r="C989">
        <v>10</v>
      </c>
      <c r="D989" t="s">
        <v>10</v>
      </c>
      <c r="E989" t="s">
        <v>30</v>
      </c>
      <c r="F989">
        <v>172348</v>
      </c>
      <c r="G989" s="3" t="s">
        <v>12</v>
      </c>
      <c r="H989" t="str">
        <f>_xlfn.XLOOKUP(TRIM(D989),對應!D:D,對應!E:E,"未對應")</f>
        <v>3通路方案</v>
      </c>
    </row>
    <row r="990" spans="1:8" x14ac:dyDescent="0.4">
      <c r="A990" t="s">
        <v>43</v>
      </c>
      <c r="B990">
        <v>2025</v>
      </c>
      <c r="C990">
        <v>10</v>
      </c>
      <c r="D990" t="s">
        <v>10</v>
      </c>
      <c r="E990" t="s">
        <v>25</v>
      </c>
      <c r="F990">
        <v>62359</v>
      </c>
      <c r="G990" s="3" t="s">
        <v>14</v>
      </c>
      <c r="H990" t="str">
        <f>_xlfn.XLOOKUP(TRIM(D990),對應!D:D,對應!E:E,"未對應")</f>
        <v>3通路方案</v>
      </c>
    </row>
    <row r="991" spans="1:8" x14ac:dyDescent="0.4">
      <c r="A991" t="s">
        <v>43</v>
      </c>
      <c r="B991">
        <v>2025</v>
      </c>
      <c r="C991">
        <v>10</v>
      </c>
      <c r="D991" t="s">
        <v>10</v>
      </c>
      <c r="E991" t="s">
        <v>27</v>
      </c>
      <c r="F991">
        <v>5785209</v>
      </c>
      <c r="G991" s="3" t="s">
        <v>28</v>
      </c>
      <c r="H991" t="str">
        <f>_xlfn.XLOOKUP(TRIM(D991),對應!D:D,對應!E:E,"未對應")</f>
        <v>3通路方案</v>
      </c>
    </row>
    <row r="992" spans="1:8" x14ac:dyDescent="0.4">
      <c r="A992" t="s">
        <v>43</v>
      </c>
      <c r="B992">
        <v>2025</v>
      </c>
      <c r="C992">
        <v>10</v>
      </c>
      <c r="D992" t="s">
        <v>10</v>
      </c>
      <c r="E992" t="s">
        <v>16</v>
      </c>
      <c r="F992">
        <v>544411</v>
      </c>
      <c r="G992" s="3" t="s">
        <v>16</v>
      </c>
      <c r="H992" t="str">
        <f>_xlfn.XLOOKUP(TRIM(D992),對應!D:D,對應!E:E,"未對應")</f>
        <v>3通路方案</v>
      </c>
    </row>
    <row r="993" spans="1:8" x14ac:dyDescent="0.4">
      <c r="A993" t="s">
        <v>43</v>
      </c>
      <c r="B993">
        <v>2025</v>
      </c>
      <c r="C993">
        <v>10</v>
      </c>
      <c r="D993" t="s">
        <v>10</v>
      </c>
      <c r="E993" t="s">
        <v>11</v>
      </c>
      <c r="F993">
        <v>1047449</v>
      </c>
      <c r="G993" s="3" t="s">
        <v>12</v>
      </c>
      <c r="H993" t="str">
        <f>_xlfn.XLOOKUP(TRIM(D993),對應!D:D,對應!E:E,"未對應")</f>
        <v>3通路方案</v>
      </c>
    </row>
    <row r="994" spans="1:8" x14ac:dyDescent="0.4">
      <c r="A994" t="s">
        <v>43</v>
      </c>
      <c r="B994">
        <v>2025</v>
      </c>
      <c r="C994">
        <v>10</v>
      </c>
      <c r="D994" t="s">
        <v>10</v>
      </c>
      <c r="E994" t="s">
        <v>26</v>
      </c>
      <c r="F994">
        <v>201621</v>
      </c>
      <c r="G994" s="3" t="s">
        <v>14</v>
      </c>
      <c r="H994" t="str">
        <f>_xlfn.XLOOKUP(TRIM(D994),對應!D:D,對應!E:E,"未對應")</f>
        <v>3通路方案</v>
      </c>
    </row>
    <row r="995" spans="1:8" x14ac:dyDescent="0.4">
      <c r="A995" t="s">
        <v>43</v>
      </c>
      <c r="B995">
        <v>2025</v>
      </c>
      <c r="C995">
        <v>10</v>
      </c>
      <c r="D995" t="s">
        <v>10</v>
      </c>
      <c r="E995" t="s">
        <v>21</v>
      </c>
      <c r="F995">
        <v>64771477</v>
      </c>
      <c r="G995" s="3" t="s">
        <v>22</v>
      </c>
      <c r="H995" t="str">
        <f>_xlfn.XLOOKUP(TRIM(D995),對應!D:D,對應!E:E,"未對應")</f>
        <v>3通路方案</v>
      </c>
    </row>
    <row r="996" spans="1:8" x14ac:dyDescent="0.4">
      <c r="A996" t="s">
        <v>43</v>
      </c>
      <c r="B996">
        <v>2025</v>
      </c>
      <c r="C996">
        <v>10</v>
      </c>
      <c r="D996" t="s">
        <v>10</v>
      </c>
      <c r="E996" t="s">
        <v>16</v>
      </c>
      <c r="F996">
        <v>893105</v>
      </c>
      <c r="G996" s="3" t="s">
        <v>16</v>
      </c>
      <c r="H996" t="str">
        <f>_xlfn.XLOOKUP(TRIM(D996),對應!D:D,對應!E:E,"未對應")</f>
        <v>3通路方案</v>
      </c>
    </row>
    <row r="997" spans="1:8" x14ac:dyDescent="0.4">
      <c r="A997" t="s">
        <v>43</v>
      </c>
      <c r="B997">
        <v>2025</v>
      </c>
      <c r="C997">
        <v>10</v>
      </c>
      <c r="D997" t="s">
        <v>8</v>
      </c>
      <c r="E997" t="s">
        <v>33</v>
      </c>
      <c r="F997">
        <v>7073561</v>
      </c>
      <c r="G997" s="3" t="s">
        <v>9</v>
      </c>
      <c r="H997" t="str">
        <f>_xlfn.XLOOKUP(TRIM(D997),對應!D:D,對應!E:E,"未對應")</f>
        <v>1網通+技鋼</v>
      </c>
    </row>
    <row r="998" spans="1:8" x14ac:dyDescent="0.4">
      <c r="A998" t="s">
        <v>43</v>
      </c>
      <c r="B998">
        <v>2025</v>
      </c>
      <c r="C998">
        <v>8</v>
      </c>
      <c r="D998" t="s">
        <v>10</v>
      </c>
      <c r="E998" t="s">
        <v>27</v>
      </c>
      <c r="F998">
        <v>9324364</v>
      </c>
      <c r="G998" s="3" t="s">
        <v>28</v>
      </c>
      <c r="H998" t="str">
        <f>_xlfn.XLOOKUP(TRIM(D998),對應!D:D,對應!E:E,"未對應")</f>
        <v>3通路方案</v>
      </c>
    </row>
    <row r="999" spans="1:8" x14ac:dyDescent="0.4">
      <c r="A999" t="s">
        <v>43</v>
      </c>
      <c r="B999">
        <v>2025</v>
      </c>
      <c r="C999">
        <v>8</v>
      </c>
      <c r="D999" t="s">
        <v>10</v>
      </c>
      <c r="E999" t="s">
        <v>16</v>
      </c>
      <c r="F999">
        <v>419533</v>
      </c>
      <c r="G999" s="3" t="s">
        <v>16</v>
      </c>
      <c r="H999" t="str">
        <f>_xlfn.XLOOKUP(TRIM(D999),對應!D:D,對應!E:E,"未對應")</f>
        <v>3通路方案</v>
      </c>
    </row>
    <row r="1000" spans="1:8" x14ac:dyDescent="0.4">
      <c r="A1000" t="s">
        <v>43</v>
      </c>
      <c r="B1000">
        <v>2025</v>
      </c>
      <c r="C1000">
        <v>8</v>
      </c>
      <c r="D1000" t="s">
        <v>10</v>
      </c>
      <c r="E1000" t="s">
        <v>11</v>
      </c>
      <c r="F1000">
        <v>2734082</v>
      </c>
      <c r="G1000" s="3" t="s">
        <v>12</v>
      </c>
      <c r="H1000" t="str">
        <f>_xlfn.XLOOKUP(TRIM(D1000),對應!D:D,對應!E:E,"未對應")</f>
        <v>3通路方案</v>
      </c>
    </row>
    <row r="1001" spans="1:8" x14ac:dyDescent="0.4">
      <c r="A1001" t="s">
        <v>43</v>
      </c>
      <c r="B1001">
        <v>2025</v>
      </c>
      <c r="C1001">
        <v>8</v>
      </c>
      <c r="D1001" t="s">
        <v>10</v>
      </c>
      <c r="E1001" t="s">
        <v>13</v>
      </c>
      <c r="F1001">
        <v>490</v>
      </c>
      <c r="G1001" s="3" t="s">
        <v>14</v>
      </c>
      <c r="H1001" t="str">
        <f>_xlfn.XLOOKUP(TRIM(D1001),對應!D:D,對應!E:E,"未對應")</f>
        <v>3通路方案</v>
      </c>
    </row>
    <row r="1002" spans="1:8" x14ac:dyDescent="0.4">
      <c r="A1002" t="s">
        <v>43</v>
      </c>
      <c r="B1002">
        <v>2025</v>
      </c>
      <c r="C1002">
        <v>8</v>
      </c>
      <c r="D1002" t="s">
        <v>10</v>
      </c>
      <c r="E1002" t="s">
        <v>26</v>
      </c>
      <c r="F1002">
        <v>62342</v>
      </c>
      <c r="G1002" s="3" t="s">
        <v>14</v>
      </c>
      <c r="H1002" t="str">
        <f>_xlfn.XLOOKUP(TRIM(D1002),對應!D:D,對應!E:E,"未對應")</f>
        <v>3通路方案</v>
      </c>
    </row>
    <row r="1003" spans="1:8" x14ac:dyDescent="0.4">
      <c r="A1003" t="s">
        <v>43</v>
      </c>
      <c r="B1003">
        <v>2025</v>
      </c>
      <c r="C1003">
        <v>8</v>
      </c>
      <c r="D1003" t="s">
        <v>10</v>
      </c>
      <c r="E1003" t="s">
        <v>21</v>
      </c>
      <c r="F1003">
        <v>82409410</v>
      </c>
      <c r="G1003" s="3" t="s">
        <v>22</v>
      </c>
      <c r="H1003" t="str">
        <f>_xlfn.XLOOKUP(TRIM(D1003),對應!D:D,對應!E:E,"未對應")</f>
        <v>3通路方案</v>
      </c>
    </row>
    <row r="1004" spans="1:8" x14ac:dyDescent="0.4">
      <c r="A1004" t="s">
        <v>43</v>
      </c>
      <c r="B1004">
        <v>2025</v>
      </c>
      <c r="C1004">
        <v>8</v>
      </c>
      <c r="D1004" t="s">
        <v>10</v>
      </c>
      <c r="E1004" t="s">
        <v>16</v>
      </c>
      <c r="F1004">
        <v>1222517</v>
      </c>
      <c r="G1004" s="3" t="s">
        <v>16</v>
      </c>
      <c r="H1004" t="str">
        <f>_xlfn.XLOOKUP(TRIM(D1004),對應!D:D,對應!E:E,"未對應")</f>
        <v>3通路方案</v>
      </c>
    </row>
    <row r="1005" spans="1:8" x14ac:dyDescent="0.4">
      <c r="A1005" t="s">
        <v>43</v>
      </c>
      <c r="B1005">
        <v>2025</v>
      </c>
      <c r="C1005">
        <v>8</v>
      </c>
      <c r="D1005" t="s">
        <v>8</v>
      </c>
      <c r="E1005" t="s">
        <v>33</v>
      </c>
      <c r="F1005">
        <v>12885654</v>
      </c>
      <c r="G1005" s="3" t="s">
        <v>9</v>
      </c>
      <c r="H1005" t="str">
        <f>_xlfn.XLOOKUP(TRIM(D1005),對應!D:D,對應!E:E,"未對應")</f>
        <v>1網通+技鋼</v>
      </c>
    </row>
    <row r="1006" spans="1:8" x14ac:dyDescent="0.4">
      <c r="A1006" t="s">
        <v>23</v>
      </c>
      <c r="B1006">
        <v>2025</v>
      </c>
      <c r="C1006">
        <v>9</v>
      </c>
      <c r="D1006" t="s">
        <v>10</v>
      </c>
      <c r="E1006" t="s">
        <v>26</v>
      </c>
      <c r="F1006">
        <v>-15600810</v>
      </c>
      <c r="G1006" s="3" t="s">
        <v>14</v>
      </c>
      <c r="H1006" t="str">
        <f>_xlfn.XLOOKUP(TRIM(D1006),對應!D:D,對應!E:E,"未對應")</f>
        <v>3通路方案</v>
      </c>
    </row>
    <row r="1007" spans="1:8" x14ac:dyDescent="0.4">
      <c r="A1007" t="s">
        <v>23</v>
      </c>
      <c r="B1007">
        <v>2025</v>
      </c>
      <c r="C1007">
        <v>9</v>
      </c>
      <c r="D1007" t="s">
        <v>17</v>
      </c>
      <c r="E1007" t="s">
        <v>18</v>
      </c>
      <c r="F1007">
        <v>-5096799</v>
      </c>
      <c r="G1007" s="3" t="s">
        <v>19</v>
      </c>
      <c r="H1007" t="str">
        <f>_xlfn.XLOOKUP(TRIM(D1007),對應!D:D,對應!E:E,"未對應")</f>
        <v>4筆電+盈嘉</v>
      </c>
    </row>
    <row r="1008" spans="1:8" x14ac:dyDescent="0.4">
      <c r="A1008" t="s">
        <v>23</v>
      </c>
      <c r="B1008">
        <v>2025</v>
      </c>
      <c r="C1008">
        <v>9</v>
      </c>
      <c r="D1008" t="s">
        <v>10</v>
      </c>
      <c r="E1008" t="s">
        <v>24</v>
      </c>
      <c r="F1008">
        <v>-6329559</v>
      </c>
      <c r="G1008" s="3" t="s">
        <v>14</v>
      </c>
      <c r="H1008" t="str">
        <f>_xlfn.XLOOKUP(TRIM(D1008),對應!D:D,對應!E:E,"未對應")</f>
        <v>3通路方案</v>
      </c>
    </row>
    <row r="1009" spans="1:8" x14ac:dyDescent="0.4">
      <c r="A1009" t="s">
        <v>23</v>
      </c>
      <c r="B1009">
        <v>2025</v>
      </c>
      <c r="C1009">
        <v>9</v>
      </c>
      <c r="D1009" t="s">
        <v>10</v>
      </c>
      <c r="E1009" t="s">
        <v>30</v>
      </c>
      <c r="F1009">
        <v>-11639</v>
      </c>
      <c r="G1009" s="3" t="s">
        <v>12</v>
      </c>
      <c r="H1009" t="str">
        <f>_xlfn.XLOOKUP(TRIM(D1009),對應!D:D,對應!E:E,"未對應")</f>
        <v>3通路方案</v>
      </c>
    </row>
    <row r="1010" spans="1:8" x14ac:dyDescent="0.4">
      <c r="A1010" t="s">
        <v>23</v>
      </c>
      <c r="B1010">
        <v>2025</v>
      </c>
      <c r="C1010">
        <v>9</v>
      </c>
      <c r="D1010" t="s">
        <v>10</v>
      </c>
      <c r="E1010" t="s">
        <v>20</v>
      </c>
      <c r="F1010">
        <v>15291</v>
      </c>
      <c r="G1010" s="3" t="s">
        <v>12</v>
      </c>
      <c r="H1010" t="str">
        <f>_xlfn.XLOOKUP(TRIM(D1010),對應!D:D,對應!E:E,"未對應")</f>
        <v>3通路方案</v>
      </c>
    </row>
    <row r="1011" spans="1:8" x14ac:dyDescent="0.4">
      <c r="A1011" t="s">
        <v>23</v>
      </c>
      <c r="B1011">
        <v>2025</v>
      </c>
      <c r="C1011">
        <v>9</v>
      </c>
      <c r="D1011" t="s">
        <v>10</v>
      </c>
      <c r="E1011" t="s">
        <v>27</v>
      </c>
      <c r="F1011">
        <v>-98760</v>
      </c>
      <c r="G1011" s="3" t="s">
        <v>28</v>
      </c>
      <c r="H1011" t="str">
        <f>_xlfn.XLOOKUP(TRIM(D1011),對應!D:D,對應!E:E,"未對應")</f>
        <v>3通路方案</v>
      </c>
    </row>
    <row r="1012" spans="1:8" x14ac:dyDescent="0.4">
      <c r="A1012" t="s">
        <v>23</v>
      </c>
      <c r="B1012">
        <v>2025</v>
      </c>
      <c r="C1012">
        <v>9</v>
      </c>
      <c r="D1012" t="s">
        <v>10</v>
      </c>
      <c r="E1012" t="s">
        <v>38</v>
      </c>
      <c r="F1012">
        <v>30605</v>
      </c>
      <c r="G1012" s="3" t="s">
        <v>12</v>
      </c>
      <c r="H1012" t="str">
        <f>_xlfn.XLOOKUP(TRIM(D1012),對應!D:D,對應!E:E,"未對應")</f>
        <v>3通路方案</v>
      </c>
    </row>
    <row r="1013" spans="1:8" x14ac:dyDescent="0.4">
      <c r="A1013" t="s">
        <v>23</v>
      </c>
      <c r="B1013">
        <v>2025</v>
      </c>
      <c r="C1013">
        <v>9</v>
      </c>
      <c r="D1013" t="s">
        <v>10</v>
      </c>
      <c r="E1013" t="s">
        <v>11</v>
      </c>
      <c r="F1013">
        <v>579805</v>
      </c>
      <c r="G1013" s="3" t="s">
        <v>12</v>
      </c>
      <c r="H1013" t="str">
        <f>_xlfn.XLOOKUP(TRIM(D1013),對應!D:D,對應!E:E,"未對應")</f>
        <v>3通路方案</v>
      </c>
    </row>
    <row r="1014" spans="1:8" x14ac:dyDescent="0.4">
      <c r="A1014" t="s">
        <v>23</v>
      </c>
      <c r="B1014">
        <v>2025</v>
      </c>
      <c r="C1014">
        <v>9</v>
      </c>
      <c r="D1014" t="s">
        <v>10</v>
      </c>
      <c r="E1014" t="s">
        <v>26</v>
      </c>
      <c r="F1014">
        <v>-13977</v>
      </c>
      <c r="G1014" s="3" t="s">
        <v>14</v>
      </c>
      <c r="H1014" t="str">
        <f>_xlfn.XLOOKUP(TRIM(D1014),對應!D:D,對應!E:E,"未對應")</f>
        <v>3通路方案</v>
      </c>
    </row>
    <row r="1015" spans="1:8" x14ac:dyDescent="0.4">
      <c r="A1015" t="s">
        <v>23</v>
      </c>
      <c r="B1015">
        <v>2025</v>
      </c>
      <c r="C1015">
        <v>9</v>
      </c>
      <c r="D1015" t="s">
        <v>10</v>
      </c>
      <c r="E1015" t="s">
        <v>21</v>
      </c>
      <c r="F1015">
        <v>-30867386</v>
      </c>
      <c r="G1015" s="3" t="s">
        <v>22</v>
      </c>
      <c r="H1015" t="str">
        <f>_xlfn.XLOOKUP(TRIM(D1015),對應!D:D,對應!E:E,"未對應")</f>
        <v>3通路方案</v>
      </c>
    </row>
    <row r="1016" spans="1:8" x14ac:dyDescent="0.4">
      <c r="A1016" t="s">
        <v>23</v>
      </c>
      <c r="B1016">
        <v>2025</v>
      </c>
      <c r="C1016">
        <v>9</v>
      </c>
      <c r="D1016" t="s">
        <v>15</v>
      </c>
      <c r="E1016" t="s">
        <v>16</v>
      </c>
      <c r="F1016">
        <v>-1845498</v>
      </c>
      <c r="G1016" s="3" t="s">
        <v>16</v>
      </c>
      <c r="H1016" t="str">
        <f>_xlfn.XLOOKUP(TRIM(D1016),對應!D:D,對應!E:E,"未對應")</f>
        <v>7製造</v>
      </c>
    </row>
    <row r="1017" spans="1:8" x14ac:dyDescent="0.4">
      <c r="A1017" t="s">
        <v>23</v>
      </c>
      <c r="B1017">
        <v>2025</v>
      </c>
      <c r="C1017">
        <v>9</v>
      </c>
      <c r="D1017" t="s">
        <v>10</v>
      </c>
      <c r="E1017" t="s">
        <v>16</v>
      </c>
      <c r="F1017">
        <v>-4350913</v>
      </c>
      <c r="G1017" s="3" t="s">
        <v>16</v>
      </c>
      <c r="H1017" t="str">
        <f>_xlfn.XLOOKUP(TRIM(D1017),對應!D:D,對應!E:E,"未對應")</f>
        <v>3通路方案</v>
      </c>
    </row>
    <row r="1018" spans="1:8" x14ac:dyDescent="0.4">
      <c r="A1018" t="s">
        <v>23</v>
      </c>
      <c r="B1018">
        <v>2025</v>
      </c>
      <c r="C1018">
        <v>9</v>
      </c>
      <c r="D1018" t="s">
        <v>15</v>
      </c>
      <c r="E1018" t="s">
        <v>16</v>
      </c>
      <c r="F1018">
        <v>-704300</v>
      </c>
      <c r="G1018" s="3" t="s">
        <v>16</v>
      </c>
      <c r="H1018" t="str">
        <f>_xlfn.XLOOKUP(TRIM(D1018),對應!D:D,對應!E:E,"未對應")</f>
        <v>7製造</v>
      </c>
    </row>
    <row r="1019" spans="1:8" x14ac:dyDescent="0.4">
      <c r="A1019" t="s">
        <v>44</v>
      </c>
      <c r="B1019">
        <v>2025</v>
      </c>
      <c r="C1019">
        <v>9</v>
      </c>
      <c r="D1019" t="s">
        <v>32</v>
      </c>
      <c r="F1019">
        <v>20270</v>
      </c>
      <c r="G1019" s="3" t="s">
        <v>32</v>
      </c>
      <c r="H1019" t="str">
        <f>_xlfn.XLOOKUP(TRIM(D1019),對應!D:D,對應!E:E,"未對應")</f>
        <v>5百事益</v>
      </c>
    </row>
    <row r="1020" spans="1:8" x14ac:dyDescent="0.4">
      <c r="A1020" t="s">
        <v>44</v>
      </c>
      <c r="B1020">
        <v>2025</v>
      </c>
      <c r="C1020">
        <v>9</v>
      </c>
      <c r="D1020" t="s">
        <v>32</v>
      </c>
      <c r="F1020">
        <v>2000147</v>
      </c>
      <c r="G1020" s="3" t="s">
        <v>32</v>
      </c>
      <c r="H1020" t="str">
        <f>_xlfn.XLOOKUP(TRIM(D1020),對應!D:D,對應!E:E,"未對應")</f>
        <v>5百事益</v>
      </c>
    </row>
    <row r="1021" spans="1:8" x14ac:dyDescent="0.4">
      <c r="A1021" t="s">
        <v>44</v>
      </c>
      <c r="B1021">
        <v>2025</v>
      </c>
      <c r="C1021">
        <v>9</v>
      </c>
      <c r="D1021" t="s">
        <v>32</v>
      </c>
      <c r="F1021">
        <v>21477324</v>
      </c>
      <c r="G1021" s="3" t="s">
        <v>32</v>
      </c>
      <c r="H1021" t="str">
        <f>_xlfn.XLOOKUP(TRIM(D1021),對應!D:D,對應!E:E,"未對應")</f>
        <v>5百事益</v>
      </c>
    </row>
    <row r="1022" spans="1:8" x14ac:dyDescent="0.4">
      <c r="A1022" t="s">
        <v>31</v>
      </c>
      <c r="B1022">
        <v>2025</v>
      </c>
      <c r="C1022">
        <v>9</v>
      </c>
      <c r="D1022" t="s">
        <v>32</v>
      </c>
      <c r="E1022" t="s">
        <v>16</v>
      </c>
      <c r="F1022">
        <v>-1703740</v>
      </c>
      <c r="G1022" s="3" t="s">
        <v>32</v>
      </c>
      <c r="H1022" t="str">
        <f>_xlfn.XLOOKUP(TRIM(D1022),對應!D:D,對應!E:E,"未對應")</f>
        <v>5百事益</v>
      </c>
    </row>
    <row r="1023" spans="1:8" x14ac:dyDescent="0.4">
      <c r="A1023" t="s">
        <v>31</v>
      </c>
      <c r="B1023">
        <v>2025</v>
      </c>
      <c r="C1023">
        <v>9</v>
      </c>
      <c r="D1023" t="s">
        <v>10</v>
      </c>
      <c r="E1023" t="s">
        <v>21</v>
      </c>
      <c r="F1023">
        <v>-17931</v>
      </c>
      <c r="G1023" s="3" t="s">
        <v>22</v>
      </c>
      <c r="H1023" t="str">
        <f>_xlfn.XLOOKUP(TRIM(D1023),對應!D:D,對應!E:E,"未對應")</f>
        <v>3通路方案</v>
      </c>
    </row>
    <row r="1024" spans="1:8" x14ac:dyDescent="0.4">
      <c r="A1024" t="s">
        <v>31</v>
      </c>
      <c r="B1024">
        <v>2025</v>
      </c>
      <c r="C1024">
        <v>9</v>
      </c>
      <c r="D1024" t="s">
        <v>32</v>
      </c>
      <c r="E1024" t="s">
        <v>16</v>
      </c>
      <c r="F1024">
        <v>-442661</v>
      </c>
      <c r="G1024" s="3" t="s">
        <v>32</v>
      </c>
      <c r="H1024" t="str">
        <f>_xlfn.XLOOKUP(TRIM(D1024),對應!D:D,對應!E:E,"未對應")</f>
        <v>5百事益</v>
      </c>
    </row>
    <row r="1025" spans="1:8" x14ac:dyDescent="0.4">
      <c r="A1025" t="s">
        <v>31</v>
      </c>
      <c r="B1025">
        <v>2025</v>
      </c>
      <c r="C1025">
        <v>9</v>
      </c>
      <c r="D1025" t="s">
        <v>10</v>
      </c>
      <c r="E1025" t="s">
        <v>24</v>
      </c>
      <c r="F1025">
        <v>-1473427</v>
      </c>
      <c r="G1025" s="3" t="s">
        <v>14</v>
      </c>
      <c r="H1025" t="str">
        <f>_xlfn.XLOOKUP(TRIM(D1025),對應!D:D,對應!E:E,"未對應")</f>
        <v>3通路方案</v>
      </c>
    </row>
    <row r="1026" spans="1:8" x14ac:dyDescent="0.4">
      <c r="A1026" t="s">
        <v>31</v>
      </c>
      <c r="B1026">
        <v>2025</v>
      </c>
      <c r="C1026">
        <v>9</v>
      </c>
      <c r="D1026" t="s">
        <v>10</v>
      </c>
      <c r="E1026" t="s">
        <v>25</v>
      </c>
      <c r="F1026">
        <v>-1151</v>
      </c>
      <c r="G1026" s="3" t="s">
        <v>14</v>
      </c>
      <c r="H1026" t="str">
        <f>_xlfn.XLOOKUP(TRIM(D1026),對應!D:D,對應!E:E,"未對應")</f>
        <v>3通路方案</v>
      </c>
    </row>
    <row r="1027" spans="1:8" x14ac:dyDescent="0.4">
      <c r="A1027" t="s">
        <v>31</v>
      </c>
      <c r="B1027">
        <v>2025</v>
      </c>
      <c r="C1027">
        <v>9</v>
      </c>
      <c r="D1027" t="s">
        <v>10</v>
      </c>
      <c r="E1027" t="s">
        <v>21</v>
      </c>
      <c r="F1027">
        <v>-6306326</v>
      </c>
      <c r="G1027" s="3" t="s">
        <v>22</v>
      </c>
      <c r="H1027" t="str">
        <f>_xlfn.XLOOKUP(TRIM(D1027),對應!D:D,對應!E:E,"未對應")</f>
        <v>3通路方案</v>
      </c>
    </row>
    <row r="1028" spans="1:8" x14ac:dyDescent="0.4">
      <c r="A1028" t="s">
        <v>31</v>
      </c>
      <c r="B1028">
        <v>2025</v>
      </c>
      <c r="C1028">
        <v>9</v>
      </c>
      <c r="D1028" t="s">
        <v>10</v>
      </c>
      <c r="E1028" t="s">
        <v>16</v>
      </c>
      <c r="F1028">
        <v>-1105316</v>
      </c>
      <c r="G1028" s="3" t="s">
        <v>16</v>
      </c>
      <c r="H1028" t="str">
        <f>_xlfn.XLOOKUP(TRIM(D1028),對應!D:D,對應!E:E,"未對應")</f>
        <v>3通路方案</v>
      </c>
    </row>
    <row r="1029" spans="1:8" x14ac:dyDescent="0.4">
      <c r="A1029" t="s">
        <v>31</v>
      </c>
      <c r="B1029">
        <v>2025</v>
      </c>
      <c r="C1029">
        <v>9</v>
      </c>
      <c r="D1029" t="s">
        <v>10</v>
      </c>
      <c r="E1029" t="s">
        <v>16</v>
      </c>
      <c r="F1029">
        <v>-3851377</v>
      </c>
      <c r="G1029" s="3" t="s">
        <v>16</v>
      </c>
      <c r="H1029" t="str">
        <f>_xlfn.XLOOKUP(TRIM(D1029),對應!D:D,對應!E:E,"未對應")</f>
        <v>3通路方案</v>
      </c>
    </row>
    <row r="1030" spans="1:8" x14ac:dyDescent="0.4">
      <c r="A1030" t="s">
        <v>31</v>
      </c>
      <c r="B1030">
        <v>2025</v>
      </c>
      <c r="C1030">
        <v>9</v>
      </c>
      <c r="D1030" t="s">
        <v>32</v>
      </c>
      <c r="E1030" t="s">
        <v>16</v>
      </c>
      <c r="F1030">
        <v>-3613245</v>
      </c>
      <c r="G1030" s="3" t="s">
        <v>32</v>
      </c>
      <c r="H1030" t="str">
        <f>_xlfn.XLOOKUP(TRIM(D1030),對應!D:D,對應!E:E,"未對應")</f>
        <v>5百事益</v>
      </c>
    </row>
    <row r="1031" spans="1:8" x14ac:dyDescent="0.4">
      <c r="A1031" t="s">
        <v>31</v>
      </c>
      <c r="B1031">
        <v>2025</v>
      </c>
      <c r="C1031">
        <v>9</v>
      </c>
      <c r="D1031" t="s">
        <v>8</v>
      </c>
      <c r="E1031" t="s">
        <v>33</v>
      </c>
      <c r="F1031">
        <v>-914070</v>
      </c>
      <c r="G1031" s="3" t="s">
        <v>9</v>
      </c>
      <c r="H1031" t="str">
        <f>_xlfn.XLOOKUP(TRIM(D1031),對應!D:D,對應!E:E,"未對應")</f>
        <v>1網通+技鋼</v>
      </c>
    </row>
    <row r="1032" spans="1:8" x14ac:dyDescent="0.4">
      <c r="A1032" t="s">
        <v>31</v>
      </c>
      <c r="B1032">
        <v>2025</v>
      </c>
      <c r="C1032">
        <v>9</v>
      </c>
      <c r="D1032" t="s">
        <v>8</v>
      </c>
      <c r="E1032" t="s">
        <v>33</v>
      </c>
      <c r="F1032">
        <v>-17291158</v>
      </c>
      <c r="G1032" s="3" t="s">
        <v>9</v>
      </c>
      <c r="H1032" t="str">
        <f>_xlfn.XLOOKUP(TRIM(D1032),對應!D:D,對應!E:E,"未對應")</f>
        <v>1網通+技鋼</v>
      </c>
    </row>
    <row r="1033" spans="1:8" x14ac:dyDescent="0.4">
      <c r="A1033" t="s">
        <v>31</v>
      </c>
      <c r="B1033">
        <v>2025</v>
      </c>
      <c r="C1033">
        <v>9</v>
      </c>
      <c r="D1033" t="s">
        <v>32</v>
      </c>
      <c r="E1033" t="s">
        <v>16</v>
      </c>
      <c r="F1033">
        <v>-2285209</v>
      </c>
      <c r="G1033" s="3" t="s">
        <v>32</v>
      </c>
      <c r="H1033" t="str">
        <f>_xlfn.XLOOKUP(TRIM(D1033),對應!D:D,對應!E:E,"未對應")</f>
        <v>5百事益</v>
      </c>
    </row>
    <row r="1034" spans="1:8" x14ac:dyDescent="0.4">
      <c r="A1034" t="s">
        <v>31</v>
      </c>
      <c r="B1034">
        <v>2025</v>
      </c>
      <c r="C1034">
        <v>9</v>
      </c>
      <c r="D1034" t="s">
        <v>32</v>
      </c>
      <c r="E1034" t="s">
        <v>16</v>
      </c>
      <c r="F1034">
        <v>-8862770</v>
      </c>
      <c r="G1034" s="3" t="s">
        <v>32</v>
      </c>
      <c r="H1034" t="str">
        <f>_xlfn.XLOOKUP(TRIM(D1034),對應!D:D,對應!E:E,"未對應")</f>
        <v>5百事益</v>
      </c>
    </row>
    <row r="1035" spans="1:8" x14ac:dyDescent="0.4">
      <c r="A1035" t="s">
        <v>31</v>
      </c>
      <c r="B1035">
        <v>2025</v>
      </c>
      <c r="C1035">
        <v>9</v>
      </c>
      <c r="D1035" t="s">
        <v>32</v>
      </c>
      <c r="E1035" t="s">
        <v>16</v>
      </c>
      <c r="F1035">
        <v>-136989</v>
      </c>
      <c r="G1035" s="3" t="s">
        <v>32</v>
      </c>
      <c r="H1035" t="str">
        <f>_xlfn.XLOOKUP(TRIM(D1035),對應!D:D,對應!E:E,"未對應")</f>
        <v>5百事益</v>
      </c>
    </row>
    <row r="1036" spans="1:8" x14ac:dyDescent="0.4">
      <c r="A1036" t="s">
        <v>31</v>
      </c>
      <c r="B1036">
        <v>2025</v>
      </c>
      <c r="C1036">
        <v>9</v>
      </c>
      <c r="D1036" t="s">
        <v>17</v>
      </c>
      <c r="E1036" t="s">
        <v>18</v>
      </c>
      <c r="F1036">
        <v>-140432</v>
      </c>
      <c r="G1036" s="3" t="s">
        <v>19</v>
      </c>
      <c r="H1036" t="str">
        <f>_xlfn.XLOOKUP(TRIM(D1036),對應!D:D,對應!E:E,"未對應")</f>
        <v>4筆電+盈嘉</v>
      </c>
    </row>
    <row r="1037" spans="1:8" x14ac:dyDescent="0.4">
      <c r="A1037" t="s">
        <v>31</v>
      </c>
      <c r="B1037">
        <v>2025</v>
      </c>
      <c r="C1037">
        <v>9</v>
      </c>
      <c r="D1037" t="s">
        <v>10</v>
      </c>
      <c r="E1037" t="s">
        <v>21</v>
      </c>
      <c r="F1037">
        <v>-8531</v>
      </c>
      <c r="G1037" s="3" t="s">
        <v>22</v>
      </c>
      <c r="H1037" t="str">
        <f>_xlfn.XLOOKUP(TRIM(D1037),對應!D:D,對應!E:E,"未對應")</f>
        <v>3通路方案</v>
      </c>
    </row>
    <row r="1038" spans="1:8" x14ac:dyDescent="0.4">
      <c r="A1038" t="s">
        <v>31</v>
      </c>
      <c r="B1038">
        <v>2025</v>
      </c>
      <c r="C1038">
        <v>9</v>
      </c>
      <c r="D1038" t="s">
        <v>8</v>
      </c>
      <c r="E1038" t="s">
        <v>33</v>
      </c>
      <c r="F1038">
        <v>-6796318</v>
      </c>
      <c r="G1038" s="3" t="s">
        <v>9</v>
      </c>
      <c r="H1038" t="str">
        <f>_xlfn.XLOOKUP(TRIM(D1038),對應!D:D,對應!E:E,"未對應")</f>
        <v>1網通+技鋼</v>
      </c>
    </row>
    <row r="1039" spans="1:8" x14ac:dyDescent="0.4">
      <c r="A1039" t="s">
        <v>31</v>
      </c>
      <c r="B1039">
        <v>2025</v>
      </c>
      <c r="C1039">
        <v>9</v>
      </c>
      <c r="D1039" t="s">
        <v>17</v>
      </c>
      <c r="E1039" t="s">
        <v>18</v>
      </c>
      <c r="F1039">
        <v>-4986313</v>
      </c>
      <c r="G1039" s="3" t="s">
        <v>19</v>
      </c>
      <c r="H1039" t="str">
        <f>_xlfn.XLOOKUP(TRIM(D1039),對應!D:D,對應!E:E,"未對應")</f>
        <v>4筆電+盈嘉</v>
      </c>
    </row>
    <row r="1040" spans="1:8" x14ac:dyDescent="0.4">
      <c r="A1040" t="s">
        <v>31</v>
      </c>
      <c r="B1040">
        <v>2025</v>
      </c>
      <c r="C1040">
        <v>9</v>
      </c>
      <c r="D1040" t="s">
        <v>10</v>
      </c>
      <c r="E1040" t="s">
        <v>24</v>
      </c>
      <c r="F1040">
        <v>-11978065</v>
      </c>
      <c r="G1040" s="3" t="s">
        <v>14</v>
      </c>
      <c r="H1040" t="str">
        <f>_xlfn.XLOOKUP(TRIM(D1040),對應!D:D,對應!E:E,"未對應")</f>
        <v>3通路方案</v>
      </c>
    </row>
    <row r="1041" spans="1:8" x14ac:dyDescent="0.4">
      <c r="A1041" t="s">
        <v>31</v>
      </c>
      <c r="B1041">
        <v>2025</v>
      </c>
      <c r="C1041">
        <v>9</v>
      </c>
      <c r="D1041" t="s">
        <v>10</v>
      </c>
      <c r="E1041" t="s">
        <v>30</v>
      </c>
      <c r="F1041">
        <v>-51279</v>
      </c>
      <c r="G1041" s="3" t="s">
        <v>12</v>
      </c>
      <c r="H1041" t="str">
        <f>_xlfn.XLOOKUP(TRIM(D1041),對應!D:D,對應!E:E,"未對應")</f>
        <v>3通路方案</v>
      </c>
    </row>
    <row r="1042" spans="1:8" x14ac:dyDescent="0.4">
      <c r="A1042" t="s">
        <v>31</v>
      </c>
      <c r="B1042">
        <v>2025</v>
      </c>
      <c r="C1042">
        <v>9</v>
      </c>
      <c r="D1042" t="s">
        <v>10</v>
      </c>
      <c r="E1042" t="s">
        <v>25</v>
      </c>
      <c r="F1042">
        <v>-16149</v>
      </c>
      <c r="G1042" s="3" t="s">
        <v>14</v>
      </c>
      <c r="H1042" t="str">
        <f>_xlfn.XLOOKUP(TRIM(D1042),對應!D:D,對應!E:E,"未對應")</f>
        <v>3通路方案</v>
      </c>
    </row>
    <row r="1043" spans="1:8" x14ac:dyDescent="0.4">
      <c r="A1043" t="s">
        <v>31</v>
      </c>
      <c r="B1043">
        <v>2025</v>
      </c>
      <c r="C1043">
        <v>9</v>
      </c>
      <c r="D1043" t="s">
        <v>10</v>
      </c>
      <c r="E1043" t="s">
        <v>27</v>
      </c>
      <c r="F1043">
        <v>-3369414</v>
      </c>
      <c r="G1043" s="3" t="s">
        <v>28</v>
      </c>
      <c r="H1043" t="str">
        <f>_xlfn.XLOOKUP(TRIM(D1043),對應!D:D,對應!E:E,"未對應")</f>
        <v>3通路方案</v>
      </c>
    </row>
    <row r="1044" spans="1:8" x14ac:dyDescent="0.4">
      <c r="A1044" t="s">
        <v>31</v>
      </c>
      <c r="B1044">
        <v>2025</v>
      </c>
      <c r="C1044">
        <v>9</v>
      </c>
      <c r="D1044" t="s">
        <v>10</v>
      </c>
      <c r="E1044" t="s">
        <v>16</v>
      </c>
      <c r="F1044">
        <v>-507248</v>
      </c>
      <c r="G1044" s="3" t="s">
        <v>16</v>
      </c>
      <c r="H1044" t="str">
        <f>_xlfn.XLOOKUP(TRIM(D1044),對應!D:D,對應!E:E,"未對應")</f>
        <v>3通路方案</v>
      </c>
    </row>
    <row r="1045" spans="1:8" x14ac:dyDescent="0.4">
      <c r="A1045" t="s">
        <v>31</v>
      </c>
      <c r="B1045">
        <v>2025</v>
      </c>
      <c r="C1045">
        <v>9</v>
      </c>
      <c r="D1045" t="s">
        <v>10</v>
      </c>
      <c r="E1045" t="s">
        <v>11</v>
      </c>
      <c r="F1045">
        <v>-1111905</v>
      </c>
      <c r="G1045" s="3" t="s">
        <v>12</v>
      </c>
      <c r="H1045" t="str">
        <f>_xlfn.XLOOKUP(TRIM(D1045),對應!D:D,對應!E:E,"未對應")</f>
        <v>3通路方案</v>
      </c>
    </row>
    <row r="1046" spans="1:8" x14ac:dyDescent="0.4">
      <c r="A1046" t="s">
        <v>7</v>
      </c>
      <c r="B1046">
        <v>2025</v>
      </c>
      <c r="C1046">
        <v>7</v>
      </c>
      <c r="D1046" t="s">
        <v>10</v>
      </c>
      <c r="E1046" t="s">
        <v>11</v>
      </c>
      <c r="F1046">
        <v>85731247</v>
      </c>
      <c r="G1046" s="3" t="s">
        <v>12</v>
      </c>
      <c r="H1046" t="str">
        <f>_xlfn.XLOOKUP(TRIM(D1046),對應!D:D,對應!E:E,"未對應")</f>
        <v>3通路方案</v>
      </c>
    </row>
    <row r="1047" spans="1:8" x14ac:dyDescent="0.4">
      <c r="A1047" t="s">
        <v>7</v>
      </c>
      <c r="B1047">
        <v>2025</v>
      </c>
      <c r="C1047">
        <v>7</v>
      </c>
      <c r="D1047" t="s">
        <v>10</v>
      </c>
      <c r="E1047" t="s">
        <v>13</v>
      </c>
      <c r="F1047">
        <v>13954</v>
      </c>
      <c r="G1047" s="3" t="s">
        <v>14</v>
      </c>
      <c r="H1047" t="str">
        <f>_xlfn.XLOOKUP(TRIM(D1047),對應!D:D,對應!E:E,"未對應")</f>
        <v>3通路方案</v>
      </c>
    </row>
    <row r="1048" spans="1:8" x14ac:dyDescent="0.4">
      <c r="A1048" t="s">
        <v>7</v>
      </c>
      <c r="B1048">
        <v>2025</v>
      </c>
      <c r="C1048">
        <v>7</v>
      </c>
      <c r="D1048" t="s">
        <v>10</v>
      </c>
      <c r="E1048" t="s">
        <v>26</v>
      </c>
      <c r="F1048">
        <v>35085340</v>
      </c>
      <c r="G1048" s="3" t="s">
        <v>14</v>
      </c>
      <c r="H1048" t="str">
        <f>_xlfn.XLOOKUP(TRIM(D1048),對應!D:D,對應!E:E,"未對應")</f>
        <v>3通路方案</v>
      </c>
    </row>
    <row r="1049" spans="1:8" x14ac:dyDescent="0.4">
      <c r="A1049" t="s">
        <v>7</v>
      </c>
      <c r="B1049">
        <v>2025</v>
      </c>
      <c r="C1049">
        <v>7</v>
      </c>
      <c r="D1049" t="s">
        <v>10</v>
      </c>
      <c r="E1049" t="s">
        <v>21</v>
      </c>
      <c r="F1049">
        <v>6140650587</v>
      </c>
      <c r="G1049" s="3" t="s">
        <v>22</v>
      </c>
      <c r="H1049" t="str">
        <f>_xlfn.XLOOKUP(TRIM(D1049),對應!D:D,對應!E:E,"未對應")</f>
        <v>3通路方案</v>
      </c>
    </row>
    <row r="1050" spans="1:8" x14ac:dyDescent="0.4">
      <c r="A1050" t="s">
        <v>7</v>
      </c>
      <c r="B1050">
        <v>2025</v>
      </c>
      <c r="C1050">
        <v>7</v>
      </c>
      <c r="D1050" t="s">
        <v>8</v>
      </c>
      <c r="E1050" t="s">
        <v>33</v>
      </c>
      <c r="F1050">
        <v>-129489</v>
      </c>
      <c r="G1050" s="3" t="s">
        <v>9</v>
      </c>
      <c r="H1050" t="str">
        <f>_xlfn.XLOOKUP(TRIM(D1050),對應!D:D,對應!E:E,"未對應")</f>
        <v>1網通+技鋼</v>
      </c>
    </row>
    <row r="1051" spans="1:8" x14ac:dyDescent="0.4">
      <c r="A1051" t="s">
        <v>7</v>
      </c>
      <c r="B1051">
        <v>2025</v>
      </c>
      <c r="C1051">
        <v>7</v>
      </c>
      <c r="D1051" t="s">
        <v>15</v>
      </c>
      <c r="E1051" t="s">
        <v>16</v>
      </c>
      <c r="F1051">
        <v>82247677</v>
      </c>
      <c r="G1051" s="3" t="s">
        <v>16</v>
      </c>
      <c r="H1051" t="str">
        <f>_xlfn.XLOOKUP(TRIM(D1051),對應!D:D,對應!E:E,"未對應")</f>
        <v>7製造</v>
      </c>
    </row>
    <row r="1052" spans="1:8" x14ac:dyDescent="0.4">
      <c r="A1052" t="s">
        <v>23</v>
      </c>
      <c r="B1052">
        <v>2025</v>
      </c>
      <c r="C1052">
        <v>7</v>
      </c>
      <c r="D1052" t="s">
        <v>10</v>
      </c>
      <c r="E1052" t="s">
        <v>24</v>
      </c>
      <c r="F1052">
        <v>-588695523</v>
      </c>
      <c r="G1052" s="3" t="s">
        <v>14</v>
      </c>
      <c r="H1052" t="str">
        <f>_xlfn.XLOOKUP(TRIM(D1052),對應!D:D,對應!E:E,"未對應")</f>
        <v>3通路方案</v>
      </c>
    </row>
    <row r="1053" spans="1:8" x14ac:dyDescent="0.4">
      <c r="A1053" t="s">
        <v>23</v>
      </c>
      <c r="B1053">
        <v>2025</v>
      </c>
      <c r="C1053">
        <v>7</v>
      </c>
      <c r="D1053" t="s">
        <v>10</v>
      </c>
      <c r="E1053" t="s">
        <v>29</v>
      </c>
      <c r="F1053">
        <v>-199070</v>
      </c>
      <c r="G1053" s="3" t="s">
        <v>12</v>
      </c>
      <c r="H1053" t="str">
        <f>_xlfn.XLOOKUP(TRIM(D1053),對應!D:D,對應!E:E,"未對應")</f>
        <v>3通路方案</v>
      </c>
    </row>
    <row r="1054" spans="1:8" x14ac:dyDescent="0.4">
      <c r="A1054" t="s">
        <v>23</v>
      </c>
      <c r="B1054">
        <v>2025</v>
      </c>
      <c r="C1054">
        <v>7</v>
      </c>
      <c r="D1054" t="s">
        <v>10</v>
      </c>
      <c r="E1054" t="s">
        <v>16</v>
      </c>
      <c r="F1054">
        <v>-1025</v>
      </c>
      <c r="G1054" s="3" t="s">
        <v>16</v>
      </c>
      <c r="H1054" t="str">
        <f>_xlfn.XLOOKUP(TRIM(D1054),對應!D:D,對應!E:E,"未對應")</f>
        <v>3通路方案</v>
      </c>
    </row>
    <row r="1055" spans="1:8" x14ac:dyDescent="0.4">
      <c r="A1055" t="s">
        <v>23</v>
      </c>
      <c r="B1055">
        <v>2025</v>
      </c>
      <c r="C1055">
        <v>7</v>
      </c>
      <c r="D1055" t="s">
        <v>10</v>
      </c>
      <c r="E1055" t="s">
        <v>26</v>
      </c>
      <c r="F1055">
        <v>-6791391</v>
      </c>
      <c r="G1055" s="3" t="s">
        <v>14</v>
      </c>
      <c r="H1055" t="str">
        <f>_xlfn.XLOOKUP(TRIM(D1055),對應!D:D,對應!E:E,"未對應")</f>
        <v>3通路方案</v>
      </c>
    </row>
    <row r="1056" spans="1:8" x14ac:dyDescent="0.4">
      <c r="A1056" t="s">
        <v>23</v>
      </c>
      <c r="B1056">
        <v>2025</v>
      </c>
      <c r="C1056">
        <v>7</v>
      </c>
      <c r="D1056" t="s">
        <v>10</v>
      </c>
      <c r="E1056" t="s">
        <v>21</v>
      </c>
      <c r="F1056">
        <v>-2017642860</v>
      </c>
      <c r="G1056" s="3" t="s">
        <v>22</v>
      </c>
      <c r="H1056" t="str">
        <f>_xlfn.XLOOKUP(TRIM(D1056),對應!D:D,對應!E:E,"未對應")</f>
        <v>3通路方案</v>
      </c>
    </row>
    <row r="1057" spans="1:8" x14ac:dyDescent="0.4">
      <c r="A1057" t="s">
        <v>23</v>
      </c>
      <c r="B1057">
        <v>2025</v>
      </c>
      <c r="C1057">
        <v>7</v>
      </c>
      <c r="D1057" t="s">
        <v>15</v>
      </c>
      <c r="E1057" t="s">
        <v>16</v>
      </c>
      <c r="F1057">
        <v>-2476932</v>
      </c>
      <c r="G1057" s="3" t="s">
        <v>16</v>
      </c>
      <c r="H1057" t="str">
        <f>_xlfn.XLOOKUP(TRIM(D1057),對應!D:D,對應!E:E,"未對應")</f>
        <v>7製造</v>
      </c>
    </row>
    <row r="1058" spans="1:8" x14ac:dyDescent="0.4">
      <c r="A1058" t="s">
        <v>23</v>
      </c>
      <c r="B1058">
        <v>2025</v>
      </c>
      <c r="C1058">
        <v>7</v>
      </c>
      <c r="D1058" t="s">
        <v>15</v>
      </c>
      <c r="E1058" t="s">
        <v>16</v>
      </c>
      <c r="F1058">
        <v>-7456536</v>
      </c>
      <c r="G1058" s="3" t="s">
        <v>16</v>
      </c>
      <c r="H1058" t="str">
        <f>_xlfn.XLOOKUP(TRIM(D1058),對應!D:D,對應!E:E,"未對應")</f>
        <v>7製造</v>
      </c>
    </row>
    <row r="1059" spans="1:8" x14ac:dyDescent="0.4">
      <c r="A1059" t="s">
        <v>23</v>
      </c>
      <c r="B1059">
        <v>2025</v>
      </c>
      <c r="C1059">
        <v>7</v>
      </c>
      <c r="D1059" t="s">
        <v>10</v>
      </c>
      <c r="E1059" t="s">
        <v>16</v>
      </c>
      <c r="F1059">
        <v>-3032</v>
      </c>
      <c r="G1059" s="3" t="s">
        <v>16</v>
      </c>
      <c r="H1059" t="str">
        <f>_xlfn.XLOOKUP(TRIM(D1059),對應!D:D,對應!E:E,"未對應")</f>
        <v>3通路方案</v>
      </c>
    </row>
    <row r="1060" spans="1:8" x14ac:dyDescent="0.4">
      <c r="A1060" t="s">
        <v>23</v>
      </c>
      <c r="B1060">
        <v>2025</v>
      </c>
      <c r="C1060">
        <v>7</v>
      </c>
      <c r="D1060" t="s">
        <v>15</v>
      </c>
      <c r="E1060" t="s">
        <v>16</v>
      </c>
      <c r="F1060">
        <v>-66704553</v>
      </c>
      <c r="G1060" s="3" t="s">
        <v>16</v>
      </c>
      <c r="H1060" t="str">
        <f>_xlfn.XLOOKUP(TRIM(D1060),對應!D:D,對應!E:E,"未對應")</f>
        <v>7製造</v>
      </c>
    </row>
    <row r="1061" spans="1:8" x14ac:dyDescent="0.4">
      <c r="A1061" t="s">
        <v>23</v>
      </c>
      <c r="B1061">
        <v>2025</v>
      </c>
      <c r="C1061">
        <v>7</v>
      </c>
      <c r="D1061" t="s">
        <v>15</v>
      </c>
      <c r="E1061" t="s">
        <v>16</v>
      </c>
      <c r="F1061">
        <v>-232650</v>
      </c>
      <c r="G1061" s="3" t="s">
        <v>16</v>
      </c>
      <c r="H1061" t="str">
        <f>_xlfn.XLOOKUP(TRIM(D1061),對應!D:D,對應!E:E,"未對應")</f>
        <v>7製造</v>
      </c>
    </row>
    <row r="1062" spans="1:8" x14ac:dyDescent="0.4">
      <c r="A1062" t="s">
        <v>23</v>
      </c>
      <c r="B1062">
        <v>2025</v>
      </c>
      <c r="C1062">
        <v>7</v>
      </c>
      <c r="D1062" t="s">
        <v>17</v>
      </c>
      <c r="E1062" t="s">
        <v>18</v>
      </c>
      <c r="F1062">
        <v>-49202127</v>
      </c>
      <c r="G1062" s="3" t="s">
        <v>19</v>
      </c>
      <c r="H1062" t="str">
        <f>_xlfn.XLOOKUP(TRIM(D1062),對應!D:D,對應!E:E,"未對應")</f>
        <v>4筆電+盈嘉</v>
      </c>
    </row>
    <row r="1063" spans="1:8" x14ac:dyDescent="0.4">
      <c r="A1063" t="s">
        <v>23</v>
      </c>
      <c r="B1063">
        <v>2025</v>
      </c>
      <c r="C1063">
        <v>7</v>
      </c>
      <c r="D1063" t="s">
        <v>10</v>
      </c>
      <c r="E1063" t="s">
        <v>24</v>
      </c>
      <c r="F1063">
        <v>-176649182</v>
      </c>
      <c r="G1063" s="3" t="s">
        <v>14</v>
      </c>
      <c r="H1063" t="str">
        <f>_xlfn.XLOOKUP(TRIM(D1063),對應!D:D,對應!E:E,"未對應")</f>
        <v>3通路方案</v>
      </c>
    </row>
    <row r="1064" spans="1:8" x14ac:dyDescent="0.4">
      <c r="A1064" t="s">
        <v>23</v>
      </c>
      <c r="B1064">
        <v>2025</v>
      </c>
      <c r="C1064">
        <v>7</v>
      </c>
      <c r="D1064" t="s">
        <v>10</v>
      </c>
      <c r="E1064" t="s">
        <v>20</v>
      </c>
      <c r="F1064">
        <v>-933284</v>
      </c>
      <c r="G1064" s="3" t="s">
        <v>12</v>
      </c>
      <c r="H1064" t="str">
        <f>_xlfn.XLOOKUP(TRIM(D1064),對應!D:D,對應!E:E,"未對應")</f>
        <v>3通路方案</v>
      </c>
    </row>
    <row r="1065" spans="1:8" x14ac:dyDescent="0.4">
      <c r="A1065" t="s">
        <v>23</v>
      </c>
      <c r="B1065">
        <v>2025</v>
      </c>
      <c r="C1065">
        <v>7</v>
      </c>
      <c r="D1065" t="s">
        <v>10</v>
      </c>
      <c r="E1065" t="s">
        <v>27</v>
      </c>
      <c r="F1065">
        <v>-3639097</v>
      </c>
      <c r="G1065" s="3" t="s">
        <v>28</v>
      </c>
      <c r="H1065" t="str">
        <f>_xlfn.XLOOKUP(TRIM(D1065),對應!D:D,對應!E:E,"未對應")</f>
        <v>3通路方案</v>
      </c>
    </row>
    <row r="1066" spans="1:8" x14ac:dyDescent="0.4">
      <c r="A1066" t="s">
        <v>23</v>
      </c>
      <c r="B1066">
        <v>2025</v>
      </c>
      <c r="C1066">
        <v>7</v>
      </c>
      <c r="D1066" t="s">
        <v>10</v>
      </c>
      <c r="E1066" t="s">
        <v>16</v>
      </c>
      <c r="F1066">
        <v>-1452472</v>
      </c>
      <c r="G1066" s="3" t="s">
        <v>16</v>
      </c>
      <c r="H1066" t="str">
        <f>_xlfn.XLOOKUP(TRIM(D1066),對應!D:D,對應!E:E,"未對應")</f>
        <v>3通路方案</v>
      </c>
    </row>
    <row r="1067" spans="1:8" x14ac:dyDescent="0.4">
      <c r="A1067" t="s">
        <v>23</v>
      </c>
      <c r="B1067">
        <v>2025</v>
      </c>
      <c r="C1067">
        <v>7</v>
      </c>
      <c r="D1067" t="s">
        <v>10</v>
      </c>
      <c r="E1067" t="s">
        <v>11</v>
      </c>
      <c r="F1067">
        <v>-5602752</v>
      </c>
      <c r="G1067" s="3" t="s">
        <v>12</v>
      </c>
      <c r="H1067" t="str">
        <f>_xlfn.XLOOKUP(TRIM(D1067),對應!D:D,對應!E:E,"未對應")</f>
        <v>3通路方案</v>
      </c>
    </row>
    <row r="1068" spans="1:8" x14ac:dyDescent="0.4">
      <c r="A1068" t="s">
        <v>23</v>
      </c>
      <c r="B1068">
        <v>2025</v>
      </c>
      <c r="C1068">
        <v>7</v>
      </c>
      <c r="D1068" t="s">
        <v>10</v>
      </c>
      <c r="E1068" t="s">
        <v>26</v>
      </c>
      <c r="F1068">
        <v>-64646</v>
      </c>
      <c r="G1068" s="3" t="s">
        <v>14</v>
      </c>
      <c r="H1068" t="str">
        <f>_xlfn.XLOOKUP(TRIM(D1068),對應!D:D,對應!E:E,"未對應")</f>
        <v>3通路方案</v>
      </c>
    </row>
    <row r="1069" spans="1:8" x14ac:dyDescent="0.4">
      <c r="A1069" t="s">
        <v>23</v>
      </c>
      <c r="B1069">
        <v>2025</v>
      </c>
      <c r="C1069">
        <v>7</v>
      </c>
      <c r="D1069" t="s">
        <v>10</v>
      </c>
      <c r="E1069" t="s">
        <v>21</v>
      </c>
      <c r="F1069">
        <v>-1246658177</v>
      </c>
      <c r="G1069" s="3" t="s">
        <v>22</v>
      </c>
      <c r="H1069" t="str">
        <f>_xlfn.XLOOKUP(TRIM(D1069),對應!D:D,對應!E:E,"未對應")</f>
        <v>3通路方案</v>
      </c>
    </row>
    <row r="1070" spans="1:8" x14ac:dyDescent="0.4">
      <c r="A1070" t="s">
        <v>23</v>
      </c>
      <c r="B1070">
        <v>2025</v>
      </c>
      <c r="C1070">
        <v>7</v>
      </c>
      <c r="D1070" t="s">
        <v>8</v>
      </c>
      <c r="E1070" t="s">
        <v>33</v>
      </c>
      <c r="F1070">
        <v>502510</v>
      </c>
      <c r="G1070" s="3" t="s">
        <v>9</v>
      </c>
      <c r="H1070" t="str">
        <f>_xlfn.XLOOKUP(TRIM(D1070),對應!D:D,對應!E:E,"未對應")</f>
        <v>1網通+技鋼</v>
      </c>
    </row>
    <row r="1071" spans="1:8" x14ac:dyDescent="0.4">
      <c r="A1071" t="s">
        <v>23</v>
      </c>
      <c r="B1071">
        <v>2025</v>
      </c>
      <c r="C1071">
        <v>7</v>
      </c>
      <c r="D1071" t="s">
        <v>10</v>
      </c>
      <c r="E1071" t="s">
        <v>26</v>
      </c>
      <c r="F1071">
        <v>-4226038</v>
      </c>
      <c r="G1071" s="3" t="s">
        <v>14</v>
      </c>
      <c r="H1071" t="str">
        <f>_xlfn.XLOOKUP(TRIM(D1071),對應!D:D,對應!E:E,"未對應")</f>
        <v>3通路方案</v>
      </c>
    </row>
    <row r="1072" spans="1:8" x14ac:dyDescent="0.4">
      <c r="A1072" t="s">
        <v>23</v>
      </c>
      <c r="B1072">
        <v>2025</v>
      </c>
      <c r="C1072">
        <v>7</v>
      </c>
      <c r="D1072" t="s">
        <v>17</v>
      </c>
      <c r="E1072" t="s">
        <v>18</v>
      </c>
      <c r="F1072">
        <v>-1237871</v>
      </c>
      <c r="G1072" s="3" t="s">
        <v>19</v>
      </c>
      <c r="H1072" t="str">
        <f>_xlfn.XLOOKUP(TRIM(D1072),對應!D:D,對應!E:E,"未對應")</f>
        <v>4筆電+盈嘉</v>
      </c>
    </row>
    <row r="1073" spans="1:8" x14ac:dyDescent="0.4">
      <c r="A1073" t="s">
        <v>23</v>
      </c>
      <c r="B1073">
        <v>2025</v>
      </c>
      <c r="C1073">
        <v>7</v>
      </c>
      <c r="D1073" t="s">
        <v>10</v>
      </c>
      <c r="E1073" t="s">
        <v>24</v>
      </c>
      <c r="F1073">
        <v>-8600579</v>
      </c>
      <c r="G1073" s="3" t="s">
        <v>14</v>
      </c>
      <c r="H1073" t="str">
        <f>_xlfn.XLOOKUP(TRIM(D1073),對應!D:D,對應!E:E,"未對應")</f>
        <v>3通路方案</v>
      </c>
    </row>
    <row r="1074" spans="1:8" x14ac:dyDescent="0.4">
      <c r="A1074" t="s">
        <v>23</v>
      </c>
      <c r="B1074">
        <v>2025</v>
      </c>
      <c r="C1074">
        <v>7</v>
      </c>
      <c r="D1074" t="s">
        <v>10</v>
      </c>
      <c r="E1074" t="s">
        <v>29</v>
      </c>
      <c r="F1074">
        <v>-116069</v>
      </c>
      <c r="G1074" s="3" t="s">
        <v>12</v>
      </c>
      <c r="H1074" t="str">
        <f>_xlfn.XLOOKUP(TRIM(D1074),對應!D:D,對應!E:E,"未對應")</f>
        <v>3通路方案</v>
      </c>
    </row>
    <row r="1075" spans="1:8" x14ac:dyDescent="0.4">
      <c r="A1075" t="s">
        <v>23</v>
      </c>
      <c r="B1075">
        <v>2025</v>
      </c>
      <c r="C1075">
        <v>7</v>
      </c>
      <c r="D1075" t="s">
        <v>10</v>
      </c>
      <c r="E1075" t="s">
        <v>30</v>
      </c>
      <c r="F1075">
        <v>-31546</v>
      </c>
      <c r="G1075" s="3" t="s">
        <v>12</v>
      </c>
      <c r="H1075" t="str">
        <f>_xlfn.XLOOKUP(TRIM(D1075),對應!D:D,對應!E:E,"未對應")</f>
        <v>3通路方案</v>
      </c>
    </row>
    <row r="1076" spans="1:8" x14ac:dyDescent="0.4">
      <c r="A1076" t="s">
        <v>23</v>
      </c>
      <c r="B1076">
        <v>2025</v>
      </c>
      <c r="C1076">
        <v>7</v>
      </c>
      <c r="D1076" t="s">
        <v>10</v>
      </c>
      <c r="E1076" t="s">
        <v>20</v>
      </c>
      <c r="F1076">
        <v>-91182</v>
      </c>
      <c r="G1076" s="3" t="s">
        <v>12</v>
      </c>
      <c r="H1076" t="str">
        <f>_xlfn.XLOOKUP(TRIM(D1076),對應!D:D,對應!E:E,"未對應")</f>
        <v>3通路方案</v>
      </c>
    </row>
    <row r="1077" spans="1:8" x14ac:dyDescent="0.4">
      <c r="A1077" t="s">
        <v>23</v>
      </c>
      <c r="B1077">
        <v>2025</v>
      </c>
      <c r="C1077">
        <v>7</v>
      </c>
      <c r="D1077" t="s">
        <v>10</v>
      </c>
      <c r="E1077" t="s">
        <v>27</v>
      </c>
      <c r="F1077">
        <v>-8384868</v>
      </c>
      <c r="G1077" s="3" t="s">
        <v>28</v>
      </c>
      <c r="H1077" t="str">
        <f>_xlfn.XLOOKUP(TRIM(D1077),對應!D:D,對應!E:E,"未對應")</f>
        <v>3通路方案</v>
      </c>
    </row>
    <row r="1078" spans="1:8" x14ac:dyDescent="0.4">
      <c r="A1078" t="s">
        <v>23</v>
      </c>
      <c r="B1078">
        <v>2025</v>
      </c>
      <c r="C1078">
        <v>7</v>
      </c>
      <c r="D1078" t="s">
        <v>10</v>
      </c>
      <c r="E1078" t="s">
        <v>16</v>
      </c>
      <c r="F1078">
        <v>-145</v>
      </c>
      <c r="G1078" s="3" t="s">
        <v>16</v>
      </c>
      <c r="H1078" t="str">
        <f>_xlfn.XLOOKUP(TRIM(D1078),對應!D:D,對應!E:E,"未對應")</f>
        <v>3通路方案</v>
      </c>
    </row>
    <row r="1079" spans="1:8" x14ac:dyDescent="0.4">
      <c r="A1079" t="s">
        <v>23</v>
      </c>
      <c r="B1079">
        <v>2025</v>
      </c>
      <c r="C1079">
        <v>7</v>
      </c>
      <c r="D1079" t="s">
        <v>10</v>
      </c>
      <c r="E1079" t="s">
        <v>11</v>
      </c>
      <c r="F1079">
        <v>-266469</v>
      </c>
      <c r="G1079" s="3" t="s">
        <v>12</v>
      </c>
      <c r="H1079" t="str">
        <f>_xlfn.XLOOKUP(TRIM(D1079),對應!D:D,對應!E:E,"未對應")</f>
        <v>3通路方案</v>
      </c>
    </row>
    <row r="1080" spans="1:8" x14ac:dyDescent="0.4">
      <c r="A1080" t="s">
        <v>23</v>
      </c>
      <c r="B1080">
        <v>2025</v>
      </c>
      <c r="C1080">
        <v>7</v>
      </c>
      <c r="D1080" t="s">
        <v>10</v>
      </c>
      <c r="E1080" t="s">
        <v>26</v>
      </c>
      <c r="F1080">
        <v>-3244</v>
      </c>
      <c r="G1080" s="3" t="s">
        <v>14</v>
      </c>
      <c r="H1080" t="str">
        <f>_xlfn.XLOOKUP(TRIM(D1080),對應!D:D,對應!E:E,"未對應")</f>
        <v>3通路方案</v>
      </c>
    </row>
    <row r="1081" spans="1:8" x14ac:dyDescent="0.4">
      <c r="A1081" t="s">
        <v>23</v>
      </c>
      <c r="B1081">
        <v>2025</v>
      </c>
      <c r="C1081">
        <v>7</v>
      </c>
      <c r="D1081" t="s">
        <v>10</v>
      </c>
      <c r="E1081" t="s">
        <v>21</v>
      </c>
      <c r="F1081">
        <v>-42256436</v>
      </c>
      <c r="G1081" s="3" t="s">
        <v>22</v>
      </c>
      <c r="H1081" t="str">
        <f>_xlfn.XLOOKUP(TRIM(D1081),對應!D:D,對應!E:E,"未對應")</f>
        <v>3通路方案</v>
      </c>
    </row>
    <row r="1082" spans="1:8" x14ac:dyDescent="0.4">
      <c r="A1082" t="s">
        <v>23</v>
      </c>
      <c r="B1082">
        <v>2025</v>
      </c>
      <c r="C1082">
        <v>7</v>
      </c>
      <c r="D1082" t="s">
        <v>15</v>
      </c>
      <c r="E1082" t="s">
        <v>16</v>
      </c>
      <c r="F1082">
        <v>-790261</v>
      </c>
      <c r="G1082" s="3" t="s">
        <v>16</v>
      </c>
      <c r="H1082" t="str">
        <f>_xlfn.XLOOKUP(TRIM(D1082),對應!D:D,對應!E:E,"未對應")</f>
        <v>7製造</v>
      </c>
    </row>
    <row r="1083" spans="1:8" x14ac:dyDescent="0.4">
      <c r="A1083" t="s">
        <v>23</v>
      </c>
      <c r="B1083">
        <v>2025</v>
      </c>
      <c r="C1083">
        <v>7</v>
      </c>
      <c r="D1083" t="s">
        <v>10</v>
      </c>
      <c r="E1083" t="s">
        <v>16</v>
      </c>
      <c r="F1083">
        <v>-1815016</v>
      </c>
      <c r="G1083" s="3" t="s">
        <v>16</v>
      </c>
      <c r="H1083" t="str">
        <f>_xlfn.XLOOKUP(TRIM(D1083),對應!D:D,對應!E:E,"未對應")</f>
        <v>3通路方案</v>
      </c>
    </row>
    <row r="1084" spans="1:8" x14ac:dyDescent="0.4">
      <c r="A1084" t="s">
        <v>44</v>
      </c>
      <c r="B1084">
        <v>2025</v>
      </c>
      <c r="C1084">
        <v>7</v>
      </c>
      <c r="D1084" t="s">
        <v>32</v>
      </c>
      <c r="F1084">
        <v>2725209</v>
      </c>
      <c r="G1084" s="3" t="s">
        <v>32</v>
      </c>
      <c r="H1084" t="str">
        <f>_xlfn.XLOOKUP(TRIM(D1084),對應!D:D,對應!E:E,"未對應")</f>
        <v>5百事益</v>
      </c>
    </row>
    <row r="1085" spans="1:8" x14ac:dyDescent="0.4">
      <c r="A1085" t="s">
        <v>44</v>
      </c>
      <c r="B1085">
        <v>2025</v>
      </c>
      <c r="C1085">
        <v>7</v>
      </c>
      <c r="D1085" t="s">
        <v>32</v>
      </c>
      <c r="F1085">
        <v>16728122</v>
      </c>
      <c r="G1085" s="3" t="s">
        <v>32</v>
      </c>
      <c r="H1085" t="str">
        <f>_xlfn.XLOOKUP(TRIM(D1085),對應!D:D,對應!E:E,"未對應")</f>
        <v>5百事益</v>
      </c>
    </row>
    <row r="1086" spans="1:8" x14ac:dyDescent="0.4">
      <c r="A1086" t="s">
        <v>31</v>
      </c>
      <c r="B1086">
        <v>2025</v>
      </c>
      <c r="C1086">
        <v>7</v>
      </c>
      <c r="D1086" t="s">
        <v>32</v>
      </c>
      <c r="E1086" t="s">
        <v>16</v>
      </c>
      <c r="F1086">
        <v>-1691959</v>
      </c>
      <c r="G1086" s="3" t="s">
        <v>32</v>
      </c>
      <c r="H1086" t="str">
        <f>_xlfn.XLOOKUP(TRIM(D1086),對應!D:D,對應!E:E,"未對應")</f>
        <v>5百事益</v>
      </c>
    </row>
    <row r="1087" spans="1:8" x14ac:dyDescent="0.4">
      <c r="A1087" t="s">
        <v>31</v>
      </c>
      <c r="B1087">
        <v>2025</v>
      </c>
      <c r="C1087">
        <v>7</v>
      </c>
      <c r="D1087" t="s">
        <v>32</v>
      </c>
      <c r="E1087" t="s">
        <v>16</v>
      </c>
      <c r="F1087">
        <v>-117855</v>
      </c>
      <c r="G1087" s="3" t="s">
        <v>32</v>
      </c>
      <c r="H1087" t="str">
        <f>_xlfn.XLOOKUP(TRIM(D1087),對應!D:D,對應!E:E,"未對應")</f>
        <v>5百事益</v>
      </c>
    </row>
    <row r="1088" spans="1:8" x14ac:dyDescent="0.4">
      <c r="A1088" t="s">
        <v>31</v>
      </c>
      <c r="B1088">
        <v>2025</v>
      </c>
      <c r="C1088">
        <v>7</v>
      </c>
      <c r="D1088" t="s">
        <v>10</v>
      </c>
      <c r="E1088" t="s">
        <v>24</v>
      </c>
      <c r="F1088">
        <v>-2847496</v>
      </c>
      <c r="G1088" s="3" t="s">
        <v>14</v>
      </c>
      <c r="H1088" t="str">
        <f>_xlfn.XLOOKUP(TRIM(D1088),對應!D:D,對應!E:E,"未對應")</f>
        <v>3通路方案</v>
      </c>
    </row>
    <row r="1089" spans="1:8" x14ac:dyDescent="0.4">
      <c r="A1089" t="s">
        <v>31</v>
      </c>
      <c r="B1089">
        <v>2025</v>
      </c>
      <c r="C1089">
        <v>7</v>
      </c>
      <c r="D1089" t="s">
        <v>10</v>
      </c>
      <c r="E1089" t="s">
        <v>25</v>
      </c>
      <c r="F1089">
        <v>-9273</v>
      </c>
      <c r="G1089" s="3" t="s">
        <v>14</v>
      </c>
      <c r="H1089" t="str">
        <f>_xlfn.XLOOKUP(TRIM(D1089),對應!D:D,對應!E:E,"未對應")</f>
        <v>3通路方案</v>
      </c>
    </row>
    <row r="1090" spans="1:8" x14ac:dyDescent="0.4">
      <c r="A1090" t="s">
        <v>31</v>
      </c>
      <c r="B1090">
        <v>2025</v>
      </c>
      <c r="C1090">
        <v>7</v>
      </c>
      <c r="D1090" t="s">
        <v>10</v>
      </c>
      <c r="E1090" t="s">
        <v>21</v>
      </c>
      <c r="F1090">
        <v>-6871079</v>
      </c>
      <c r="G1090" s="3" t="s">
        <v>22</v>
      </c>
      <c r="H1090" t="str">
        <f>_xlfn.XLOOKUP(TRIM(D1090),對應!D:D,對應!E:E,"未對應")</f>
        <v>3通路方案</v>
      </c>
    </row>
    <row r="1091" spans="1:8" x14ac:dyDescent="0.4">
      <c r="A1091" t="s">
        <v>31</v>
      </c>
      <c r="B1091">
        <v>2025</v>
      </c>
      <c r="C1091">
        <v>7</v>
      </c>
      <c r="D1091" t="s">
        <v>10</v>
      </c>
      <c r="E1091" t="s">
        <v>16</v>
      </c>
      <c r="F1091">
        <v>-1147679</v>
      </c>
      <c r="G1091" s="3" t="s">
        <v>16</v>
      </c>
      <c r="H1091" t="str">
        <f>_xlfn.XLOOKUP(TRIM(D1091),對應!D:D,對應!E:E,"未對應")</f>
        <v>3通路方案</v>
      </c>
    </row>
    <row r="1092" spans="1:8" x14ac:dyDescent="0.4">
      <c r="A1092" t="s">
        <v>31</v>
      </c>
      <c r="B1092">
        <v>2025</v>
      </c>
      <c r="C1092">
        <v>7</v>
      </c>
      <c r="D1092" t="s">
        <v>10</v>
      </c>
      <c r="E1092" t="s">
        <v>16</v>
      </c>
      <c r="F1092">
        <v>-3372012</v>
      </c>
      <c r="G1092" s="3" t="s">
        <v>16</v>
      </c>
      <c r="H1092" t="str">
        <f>_xlfn.XLOOKUP(TRIM(D1092),對應!D:D,對應!E:E,"未對應")</f>
        <v>3通路方案</v>
      </c>
    </row>
    <row r="1093" spans="1:8" x14ac:dyDescent="0.4">
      <c r="A1093" t="s">
        <v>31</v>
      </c>
      <c r="B1093">
        <v>2025</v>
      </c>
      <c r="C1093">
        <v>7</v>
      </c>
      <c r="D1093" t="s">
        <v>32</v>
      </c>
      <c r="E1093" t="s">
        <v>16</v>
      </c>
      <c r="F1093">
        <v>-2346604</v>
      </c>
      <c r="G1093" s="3" t="s">
        <v>32</v>
      </c>
      <c r="H1093" t="str">
        <f>_xlfn.XLOOKUP(TRIM(D1093),對應!D:D,對應!E:E,"未對應")</f>
        <v>5百事益</v>
      </c>
    </row>
    <row r="1094" spans="1:8" x14ac:dyDescent="0.4">
      <c r="A1094" t="s">
        <v>31</v>
      </c>
      <c r="B1094">
        <v>2025</v>
      </c>
      <c r="C1094">
        <v>7</v>
      </c>
      <c r="D1094" t="s">
        <v>8</v>
      </c>
      <c r="E1094" t="s">
        <v>33</v>
      </c>
      <c r="F1094">
        <v>-5384880</v>
      </c>
      <c r="G1094" s="3" t="s">
        <v>9</v>
      </c>
      <c r="H1094" t="str">
        <f>_xlfn.XLOOKUP(TRIM(D1094),對應!D:D,對應!E:E,"未對應")</f>
        <v>1網通+技鋼</v>
      </c>
    </row>
    <row r="1095" spans="1:8" x14ac:dyDescent="0.4">
      <c r="A1095" t="s">
        <v>7</v>
      </c>
      <c r="B1095">
        <v>2025</v>
      </c>
      <c r="C1095">
        <v>8</v>
      </c>
      <c r="D1095" t="s">
        <v>10</v>
      </c>
      <c r="E1095" t="s">
        <v>38</v>
      </c>
      <c r="F1095">
        <v>836360</v>
      </c>
      <c r="G1095" s="3" t="s">
        <v>12</v>
      </c>
      <c r="H1095" t="str">
        <f>_xlfn.XLOOKUP(TRIM(D1095),對應!D:D,對應!E:E,"未對應")</f>
        <v>3通路方案</v>
      </c>
    </row>
    <row r="1096" spans="1:8" x14ac:dyDescent="0.4">
      <c r="A1096" t="s">
        <v>43</v>
      </c>
      <c r="B1096">
        <v>2025</v>
      </c>
      <c r="C1096">
        <v>9</v>
      </c>
      <c r="D1096" t="s">
        <v>17</v>
      </c>
      <c r="E1096" t="s">
        <v>18</v>
      </c>
      <c r="F1096">
        <v>175966576</v>
      </c>
      <c r="G1096" s="3" t="s">
        <v>19</v>
      </c>
      <c r="H1096" t="str">
        <f>_xlfn.XLOOKUP(TRIM(D1096),對應!D:D,對應!E:E,"未對應")</f>
        <v>4筆電+盈嘉</v>
      </c>
    </row>
    <row r="1097" spans="1:8" x14ac:dyDescent="0.4">
      <c r="A1097" t="s">
        <v>43</v>
      </c>
      <c r="B1097">
        <v>2025</v>
      </c>
      <c r="C1097">
        <v>9</v>
      </c>
      <c r="D1097" t="s">
        <v>10</v>
      </c>
      <c r="E1097" t="s">
        <v>24</v>
      </c>
      <c r="F1097">
        <v>478206380</v>
      </c>
      <c r="G1097" s="3" t="s">
        <v>14</v>
      </c>
      <c r="H1097" t="str">
        <f>_xlfn.XLOOKUP(TRIM(D1097),對應!D:D,對應!E:E,"未對應")</f>
        <v>3通路方案</v>
      </c>
    </row>
    <row r="1098" spans="1:8" x14ac:dyDescent="0.4">
      <c r="A1098" t="s">
        <v>43</v>
      </c>
      <c r="B1098">
        <v>2025</v>
      </c>
      <c r="C1098">
        <v>9</v>
      </c>
      <c r="D1098" t="s">
        <v>10</v>
      </c>
      <c r="E1098" t="s">
        <v>30</v>
      </c>
      <c r="F1098">
        <v>94370</v>
      </c>
      <c r="G1098" s="3" t="s">
        <v>12</v>
      </c>
      <c r="H1098" t="str">
        <f>_xlfn.XLOOKUP(TRIM(D1098),對應!D:D,對應!E:E,"未對應")</f>
        <v>3通路方案</v>
      </c>
    </row>
    <row r="1099" spans="1:8" x14ac:dyDescent="0.4">
      <c r="A1099" t="s">
        <v>43</v>
      </c>
      <c r="B1099">
        <v>2025</v>
      </c>
      <c r="C1099">
        <v>9</v>
      </c>
      <c r="D1099" t="s">
        <v>10</v>
      </c>
      <c r="E1099" t="s">
        <v>25</v>
      </c>
      <c r="F1099">
        <v>5302</v>
      </c>
      <c r="G1099" s="3" t="s">
        <v>14</v>
      </c>
      <c r="H1099" t="str">
        <f>_xlfn.XLOOKUP(TRIM(D1099),對應!D:D,對應!E:E,"未對應")</f>
        <v>3通路方案</v>
      </c>
    </row>
    <row r="1100" spans="1:8" x14ac:dyDescent="0.4">
      <c r="A1100" t="s">
        <v>43</v>
      </c>
      <c r="B1100">
        <v>2025</v>
      </c>
      <c r="C1100">
        <v>9</v>
      </c>
      <c r="D1100" t="s">
        <v>10</v>
      </c>
      <c r="E1100" t="s">
        <v>27</v>
      </c>
      <c r="F1100">
        <v>29553603</v>
      </c>
      <c r="G1100" s="3" t="s">
        <v>28</v>
      </c>
      <c r="H1100" t="str">
        <f>_xlfn.XLOOKUP(TRIM(D1100),對應!D:D,對應!E:E,"未對應")</f>
        <v>3通路方案</v>
      </c>
    </row>
    <row r="1101" spans="1:8" x14ac:dyDescent="0.4">
      <c r="A1101" t="s">
        <v>43</v>
      </c>
      <c r="B1101">
        <v>2025</v>
      </c>
      <c r="C1101">
        <v>9</v>
      </c>
      <c r="D1101" t="s">
        <v>10</v>
      </c>
      <c r="E1101" t="s">
        <v>11</v>
      </c>
      <c r="F1101">
        <v>5245430</v>
      </c>
      <c r="G1101" s="3" t="s">
        <v>12</v>
      </c>
      <c r="H1101" t="str">
        <f>_xlfn.XLOOKUP(TRIM(D1101),對應!D:D,對應!E:E,"未對應")</f>
        <v>3通路方案</v>
      </c>
    </row>
    <row r="1102" spans="1:8" x14ac:dyDescent="0.4">
      <c r="A1102" t="s">
        <v>43</v>
      </c>
      <c r="B1102">
        <v>2025</v>
      </c>
      <c r="C1102">
        <v>9</v>
      </c>
      <c r="D1102" t="s">
        <v>10</v>
      </c>
      <c r="E1102" t="s">
        <v>26</v>
      </c>
      <c r="F1102">
        <v>397657</v>
      </c>
      <c r="G1102" s="3" t="s">
        <v>14</v>
      </c>
      <c r="H1102" t="str">
        <f>_xlfn.XLOOKUP(TRIM(D1102),對應!D:D,對應!E:E,"未對應")</f>
        <v>3通路方案</v>
      </c>
    </row>
    <row r="1103" spans="1:8" x14ac:dyDescent="0.4">
      <c r="A1103" t="s">
        <v>43</v>
      </c>
      <c r="B1103">
        <v>2025</v>
      </c>
      <c r="C1103">
        <v>9</v>
      </c>
      <c r="D1103" t="s">
        <v>10</v>
      </c>
      <c r="E1103" t="s">
        <v>21</v>
      </c>
      <c r="F1103">
        <v>1506780945</v>
      </c>
      <c r="G1103" s="3" t="s">
        <v>22</v>
      </c>
      <c r="H1103" t="str">
        <f>_xlfn.XLOOKUP(TRIM(D1103),對應!D:D,對應!E:E,"未對應")</f>
        <v>3通路方案</v>
      </c>
    </row>
    <row r="1104" spans="1:8" x14ac:dyDescent="0.4">
      <c r="A1104" t="s">
        <v>43</v>
      </c>
      <c r="B1104">
        <v>2025</v>
      </c>
      <c r="C1104">
        <v>9</v>
      </c>
      <c r="D1104" t="s">
        <v>10</v>
      </c>
      <c r="E1104" t="s">
        <v>16</v>
      </c>
      <c r="F1104">
        <v>13338637</v>
      </c>
      <c r="G1104" s="3" t="s">
        <v>16</v>
      </c>
      <c r="H1104" t="str">
        <f>_xlfn.XLOOKUP(TRIM(D1104),對應!D:D,對應!E:E,"未對應")</f>
        <v>3通路方案</v>
      </c>
    </row>
    <row r="1105" spans="1:8" x14ac:dyDescent="0.4">
      <c r="A1105" t="s">
        <v>43</v>
      </c>
      <c r="B1105">
        <v>2025</v>
      </c>
      <c r="C1105">
        <v>9</v>
      </c>
      <c r="D1105" t="s">
        <v>8</v>
      </c>
      <c r="E1105" t="s">
        <v>33</v>
      </c>
      <c r="F1105">
        <v>24836708</v>
      </c>
      <c r="G1105" s="3" t="s">
        <v>9</v>
      </c>
      <c r="H1105" t="str">
        <f>_xlfn.XLOOKUP(TRIM(D1105),對應!D:D,對應!E:E,"未對應")</f>
        <v>1網通+技鋼</v>
      </c>
    </row>
    <row r="1106" spans="1:8" x14ac:dyDescent="0.4">
      <c r="A1106" t="s">
        <v>43</v>
      </c>
      <c r="B1106">
        <v>2025</v>
      </c>
      <c r="C1106">
        <v>9</v>
      </c>
      <c r="D1106" t="s">
        <v>8</v>
      </c>
      <c r="E1106" t="s">
        <v>33</v>
      </c>
      <c r="F1106">
        <v>10969</v>
      </c>
      <c r="G1106" s="3" t="s">
        <v>9</v>
      </c>
      <c r="H1106" t="str">
        <f>_xlfn.XLOOKUP(TRIM(D1106),對應!D:D,對應!E:E,"未對應")</f>
        <v>1網通+技鋼</v>
      </c>
    </row>
    <row r="1107" spans="1:8" x14ac:dyDescent="0.4">
      <c r="A1107" t="s">
        <v>43</v>
      </c>
      <c r="B1107">
        <v>2025</v>
      </c>
      <c r="C1107">
        <v>9</v>
      </c>
      <c r="D1107" t="s">
        <v>8</v>
      </c>
      <c r="E1107" t="s">
        <v>33</v>
      </c>
      <c r="F1107">
        <v>-14016</v>
      </c>
      <c r="G1107" s="3" t="s">
        <v>9</v>
      </c>
      <c r="H1107" t="str">
        <f>_xlfn.XLOOKUP(TRIM(D1107),對應!D:D,對應!E:E,"未對應")</f>
        <v>1網通+技鋼</v>
      </c>
    </row>
    <row r="1108" spans="1:8" x14ac:dyDescent="0.4">
      <c r="A1108" t="s">
        <v>43</v>
      </c>
      <c r="B1108">
        <v>2025</v>
      </c>
      <c r="C1108">
        <v>9</v>
      </c>
      <c r="D1108" t="s">
        <v>8</v>
      </c>
      <c r="E1108" t="s">
        <v>33</v>
      </c>
      <c r="F1108">
        <v>140227978</v>
      </c>
      <c r="G1108" s="3" t="s">
        <v>9</v>
      </c>
      <c r="H1108" t="str">
        <f>_xlfn.XLOOKUP(TRIM(D1108),對應!D:D,對應!E:E,"未對應")</f>
        <v>1網通+技鋼</v>
      </c>
    </row>
    <row r="1109" spans="1:8" x14ac:dyDescent="0.4">
      <c r="A1109" t="s">
        <v>43</v>
      </c>
      <c r="B1109">
        <v>2025</v>
      </c>
      <c r="C1109">
        <v>9</v>
      </c>
      <c r="D1109" t="s">
        <v>10</v>
      </c>
      <c r="E1109" t="s">
        <v>26</v>
      </c>
      <c r="F1109">
        <v>15787851</v>
      </c>
      <c r="G1109" s="3" t="s">
        <v>14</v>
      </c>
      <c r="H1109" t="str">
        <f>_xlfn.XLOOKUP(TRIM(D1109),對應!D:D,對應!E:E,"未對應")</f>
        <v>3通路方案</v>
      </c>
    </row>
    <row r="1110" spans="1:8" x14ac:dyDescent="0.4">
      <c r="A1110" t="s">
        <v>43</v>
      </c>
      <c r="B1110">
        <v>2025</v>
      </c>
      <c r="C1110">
        <v>9</v>
      </c>
      <c r="D1110" t="s">
        <v>32</v>
      </c>
      <c r="E1110" t="s">
        <v>16</v>
      </c>
      <c r="F1110">
        <v>6149436</v>
      </c>
      <c r="G1110" s="3" t="s">
        <v>32</v>
      </c>
      <c r="H1110" t="str">
        <f>_xlfn.XLOOKUP(TRIM(D1110),對應!D:D,對應!E:E,"未對應")</f>
        <v>5百事益</v>
      </c>
    </row>
    <row r="1111" spans="1:8" x14ac:dyDescent="0.4">
      <c r="A1111" t="s">
        <v>43</v>
      </c>
      <c r="B1111">
        <v>2025</v>
      </c>
      <c r="C1111">
        <v>9</v>
      </c>
      <c r="D1111" t="s">
        <v>17</v>
      </c>
      <c r="E1111" t="s">
        <v>18</v>
      </c>
      <c r="F1111">
        <v>10081705</v>
      </c>
      <c r="G1111" s="3" t="s">
        <v>19</v>
      </c>
      <c r="H1111" t="str">
        <f>_xlfn.XLOOKUP(TRIM(D1111),對應!D:D,對應!E:E,"未對應")</f>
        <v>4筆電+盈嘉</v>
      </c>
    </row>
    <row r="1112" spans="1:8" x14ac:dyDescent="0.4">
      <c r="A1112" t="s">
        <v>43</v>
      </c>
      <c r="B1112">
        <v>2025</v>
      </c>
      <c r="C1112">
        <v>9</v>
      </c>
      <c r="D1112" t="s">
        <v>10</v>
      </c>
      <c r="E1112" t="s">
        <v>24</v>
      </c>
      <c r="F1112">
        <v>22620893</v>
      </c>
      <c r="G1112" s="3" t="s">
        <v>14</v>
      </c>
      <c r="H1112" t="str">
        <f>_xlfn.XLOOKUP(TRIM(D1112),對應!D:D,對應!E:E,"未對應")</f>
        <v>3通路方案</v>
      </c>
    </row>
    <row r="1113" spans="1:8" x14ac:dyDescent="0.4">
      <c r="A1113" t="s">
        <v>43</v>
      </c>
      <c r="B1113">
        <v>2025</v>
      </c>
      <c r="C1113">
        <v>9</v>
      </c>
      <c r="D1113" t="s">
        <v>10</v>
      </c>
      <c r="E1113" t="s">
        <v>30</v>
      </c>
      <c r="F1113">
        <v>63772</v>
      </c>
      <c r="G1113" s="3" t="s">
        <v>12</v>
      </c>
      <c r="H1113" t="str">
        <f>_xlfn.XLOOKUP(TRIM(D1113),對應!D:D,對應!E:E,"未對應")</f>
        <v>3通路方案</v>
      </c>
    </row>
    <row r="1114" spans="1:8" x14ac:dyDescent="0.4">
      <c r="A1114" t="s">
        <v>43</v>
      </c>
      <c r="B1114">
        <v>2025</v>
      </c>
      <c r="C1114">
        <v>9</v>
      </c>
      <c r="D1114" t="s">
        <v>10</v>
      </c>
      <c r="E1114" t="s">
        <v>25</v>
      </c>
      <c r="F1114">
        <v>16149</v>
      </c>
      <c r="G1114" s="3" t="s">
        <v>14</v>
      </c>
      <c r="H1114" t="str">
        <f>_xlfn.XLOOKUP(TRIM(D1114),對應!D:D,對應!E:E,"未對應")</f>
        <v>3通路方案</v>
      </c>
    </row>
    <row r="1115" spans="1:8" x14ac:dyDescent="0.4">
      <c r="A1115" t="s">
        <v>43</v>
      </c>
      <c r="B1115">
        <v>2025</v>
      </c>
      <c r="C1115">
        <v>9</v>
      </c>
      <c r="D1115" t="s">
        <v>10</v>
      </c>
      <c r="E1115" t="s">
        <v>27</v>
      </c>
      <c r="F1115">
        <v>4688539</v>
      </c>
      <c r="G1115" s="3" t="s">
        <v>28</v>
      </c>
      <c r="H1115" t="str">
        <f>_xlfn.XLOOKUP(TRIM(D1115),對應!D:D,對應!E:E,"未對應")</f>
        <v>3通路方案</v>
      </c>
    </row>
    <row r="1116" spans="1:8" x14ac:dyDescent="0.4">
      <c r="A1116" t="s">
        <v>43</v>
      </c>
      <c r="B1116">
        <v>2025</v>
      </c>
      <c r="C1116">
        <v>9</v>
      </c>
      <c r="D1116" t="s">
        <v>10</v>
      </c>
      <c r="E1116" t="s">
        <v>16</v>
      </c>
      <c r="F1116">
        <v>507248</v>
      </c>
      <c r="G1116" s="3" t="s">
        <v>16</v>
      </c>
      <c r="H1116" t="str">
        <f>_xlfn.XLOOKUP(TRIM(D1116),對應!D:D,對應!E:E,"未對應")</f>
        <v>3通路方案</v>
      </c>
    </row>
    <row r="1117" spans="1:8" x14ac:dyDescent="0.4">
      <c r="A1117" t="s">
        <v>43</v>
      </c>
      <c r="B1117">
        <v>2025</v>
      </c>
      <c r="C1117">
        <v>9</v>
      </c>
      <c r="D1117" t="s">
        <v>10</v>
      </c>
      <c r="E1117" t="s">
        <v>11</v>
      </c>
      <c r="F1117">
        <v>1408749</v>
      </c>
      <c r="G1117" s="3" t="s">
        <v>12</v>
      </c>
      <c r="H1117" t="str">
        <f>_xlfn.XLOOKUP(TRIM(D1117),對應!D:D,對應!E:E,"未對應")</f>
        <v>3通路方案</v>
      </c>
    </row>
    <row r="1118" spans="1:8" x14ac:dyDescent="0.4">
      <c r="A1118" t="s">
        <v>43</v>
      </c>
      <c r="B1118">
        <v>2025</v>
      </c>
      <c r="C1118">
        <v>9</v>
      </c>
      <c r="D1118" t="s">
        <v>10</v>
      </c>
      <c r="E1118" t="s">
        <v>26</v>
      </c>
      <c r="F1118">
        <v>77178</v>
      </c>
      <c r="G1118" s="3" t="s">
        <v>14</v>
      </c>
      <c r="H1118" t="str">
        <f>_xlfn.XLOOKUP(TRIM(D1118),對應!D:D,對應!E:E,"未對應")</f>
        <v>3通路方案</v>
      </c>
    </row>
    <row r="1119" spans="1:8" x14ac:dyDescent="0.4">
      <c r="A1119" t="s">
        <v>43</v>
      </c>
      <c r="B1119">
        <v>2025</v>
      </c>
      <c r="C1119">
        <v>9</v>
      </c>
      <c r="D1119" t="s">
        <v>10</v>
      </c>
      <c r="E1119" t="s">
        <v>21</v>
      </c>
      <c r="F1119">
        <v>60411925</v>
      </c>
      <c r="G1119" s="3" t="s">
        <v>22</v>
      </c>
      <c r="H1119" t="str">
        <f>_xlfn.XLOOKUP(TRIM(D1119),對應!D:D,對應!E:E,"未對應")</f>
        <v>3通路方案</v>
      </c>
    </row>
    <row r="1120" spans="1:8" x14ac:dyDescent="0.4">
      <c r="A1120" t="s">
        <v>43</v>
      </c>
      <c r="B1120">
        <v>2025</v>
      </c>
      <c r="C1120">
        <v>9</v>
      </c>
      <c r="D1120" t="s">
        <v>10</v>
      </c>
      <c r="E1120" t="s">
        <v>16</v>
      </c>
      <c r="F1120">
        <v>657795</v>
      </c>
      <c r="G1120" s="3" t="s">
        <v>16</v>
      </c>
      <c r="H1120" t="str">
        <f>_xlfn.XLOOKUP(TRIM(D1120),對應!D:D,對應!E:E,"未對應")</f>
        <v>3通路方案</v>
      </c>
    </row>
    <row r="1121" spans="1:8" x14ac:dyDescent="0.4">
      <c r="A1121" t="s">
        <v>43</v>
      </c>
      <c r="B1121">
        <v>2025</v>
      </c>
      <c r="C1121">
        <v>9</v>
      </c>
      <c r="D1121" t="s">
        <v>8</v>
      </c>
      <c r="E1121" t="s">
        <v>33</v>
      </c>
      <c r="F1121">
        <v>7884339</v>
      </c>
      <c r="G1121" s="3" t="s">
        <v>9</v>
      </c>
      <c r="H1121" t="str">
        <f>_xlfn.XLOOKUP(TRIM(D1121),對應!D:D,對應!E:E,"未對應")</f>
        <v>1網通+技鋼</v>
      </c>
    </row>
    <row r="1122" spans="1:8" x14ac:dyDescent="0.4">
      <c r="A1122" t="s">
        <v>7</v>
      </c>
      <c r="B1122">
        <v>2025</v>
      </c>
      <c r="C1122">
        <v>10</v>
      </c>
      <c r="D1122" t="s">
        <v>10</v>
      </c>
      <c r="E1122" t="s">
        <v>13</v>
      </c>
      <c r="F1122">
        <v>-5634</v>
      </c>
      <c r="G1122" s="3" t="s">
        <v>14</v>
      </c>
      <c r="H1122" t="str">
        <f>_xlfn.XLOOKUP(TRIM(D1122),對應!D:D,對應!E:E,"未對應")</f>
        <v>3通路方案</v>
      </c>
    </row>
    <row r="1123" spans="1:8" x14ac:dyDescent="0.4">
      <c r="A1123" t="s">
        <v>7</v>
      </c>
      <c r="B1123">
        <v>2025</v>
      </c>
      <c r="C1123">
        <v>10</v>
      </c>
      <c r="D1123" t="s">
        <v>10</v>
      </c>
      <c r="E1123" t="s">
        <v>26</v>
      </c>
      <c r="F1123">
        <v>69686787</v>
      </c>
      <c r="G1123" s="3" t="s">
        <v>14</v>
      </c>
      <c r="H1123" t="str">
        <f>_xlfn.XLOOKUP(TRIM(D1123),對應!D:D,對應!E:E,"未對應")</f>
        <v>3通路方案</v>
      </c>
    </row>
    <row r="1124" spans="1:8" x14ac:dyDescent="0.4">
      <c r="A1124" t="s">
        <v>7</v>
      </c>
      <c r="B1124">
        <v>2025</v>
      </c>
      <c r="C1124">
        <v>10</v>
      </c>
      <c r="D1124" t="s">
        <v>10</v>
      </c>
      <c r="E1124" t="s">
        <v>21</v>
      </c>
      <c r="F1124">
        <v>6767767344</v>
      </c>
      <c r="G1124" s="3" t="s">
        <v>22</v>
      </c>
      <c r="H1124" t="str">
        <f>_xlfn.XLOOKUP(TRIM(D1124),對應!D:D,對應!E:E,"未對應")</f>
        <v>3通路方案</v>
      </c>
    </row>
    <row r="1125" spans="1:8" x14ac:dyDescent="0.4">
      <c r="A1125" t="s">
        <v>7</v>
      </c>
      <c r="B1125">
        <v>2025</v>
      </c>
      <c r="C1125">
        <v>10</v>
      </c>
      <c r="D1125" t="s">
        <v>8</v>
      </c>
      <c r="E1125" t="s">
        <v>33</v>
      </c>
      <c r="F1125">
        <v>69914803</v>
      </c>
      <c r="G1125" s="3" t="s">
        <v>9</v>
      </c>
      <c r="H1125" t="str">
        <f>_xlfn.XLOOKUP(TRIM(D1125),對應!D:D,對應!E:E,"未對應")</f>
        <v>1網通+技鋼</v>
      </c>
    </row>
    <row r="1126" spans="1:8" x14ac:dyDescent="0.4">
      <c r="A1126" t="s">
        <v>7</v>
      </c>
      <c r="B1126">
        <v>2025</v>
      </c>
      <c r="C1126">
        <v>10</v>
      </c>
      <c r="D1126" t="s">
        <v>15</v>
      </c>
      <c r="E1126" t="s">
        <v>16</v>
      </c>
      <c r="F1126">
        <v>93340603</v>
      </c>
      <c r="G1126" s="3" t="s">
        <v>16</v>
      </c>
      <c r="H1126" t="str">
        <f>_xlfn.XLOOKUP(TRIM(D1126),對應!D:D,對應!E:E,"未對應")</f>
        <v>7製造</v>
      </c>
    </row>
    <row r="1127" spans="1:8" x14ac:dyDescent="0.4">
      <c r="A1127" t="s">
        <v>23</v>
      </c>
      <c r="B1127">
        <v>2025</v>
      </c>
      <c r="C1127">
        <v>10</v>
      </c>
      <c r="D1127" t="s">
        <v>17</v>
      </c>
      <c r="E1127" t="s">
        <v>18</v>
      </c>
      <c r="F1127">
        <v>-492715</v>
      </c>
      <c r="G1127" s="3" t="s">
        <v>19</v>
      </c>
      <c r="H1127" t="str">
        <f>_xlfn.XLOOKUP(TRIM(D1127),對應!D:D,對應!E:E,"未對應")</f>
        <v>4筆電+盈嘉</v>
      </c>
    </row>
    <row r="1128" spans="1:8" x14ac:dyDescent="0.4">
      <c r="A1128" t="s">
        <v>23</v>
      </c>
      <c r="B1128">
        <v>2025</v>
      </c>
      <c r="C1128">
        <v>10</v>
      </c>
      <c r="D1128" t="s">
        <v>10</v>
      </c>
      <c r="E1128" t="s">
        <v>16</v>
      </c>
      <c r="F1128">
        <v>-638406</v>
      </c>
      <c r="G1128" s="3" t="s">
        <v>16</v>
      </c>
      <c r="H1128" t="str">
        <f>_xlfn.XLOOKUP(TRIM(D1128),對應!D:D,對應!E:E,"未對應")</f>
        <v>3通路方案</v>
      </c>
    </row>
    <row r="1129" spans="1:8" x14ac:dyDescent="0.4">
      <c r="A1129" t="s">
        <v>23</v>
      </c>
      <c r="B1129">
        <v>2025</v>
      </c>
      <c r="C1129">
        <v>10</v>
      </c>
      <c r="D1129" t="s">
        <v>10</v>
      </c>
      <c r="E1129" t="s">
        <v>24</v>
      </c>
      <c r="F1129">
        <v>-840736464</v>
      </c>
      <c r="G1129" s="3" t="s">
        <v>14</v>
      </c>
      <c r="H1129" t="str">
        <f>_xlfn.XLOOKUP(TRIM(D1129),對應!D:D,對應!E:E,"未對應")</f>
        <v>3通路方案</v>
      </c>
    </row>
    <row r="1130" spans="1:8" x14ac:dyDescent="0.4">
      <c r="A1130" t="s">
        <v>23</v>
      </c>
      <c r="B1130">
        <v>2025</v>
      </c>
      <c r="C1130">
        <v>10</v>
      </c>
      <c r="D1130" t="s">
        <v>10</v>
      </c>
      <c r="E1130" t="s">
        <v>29</v>
      </c>
      <c r="F1130">
        <v>-2905895</v>
      </c>
      <c r="G1130" s="3" t="s">
        <v>12</v>
      </c>
      <c r="H1130" t="str">
        <f>_xlfn.XLOOKUP(TRIM(D1130),對應!D:D,對應!E:E,"未對應")</f>
        <v>3通路方案</v>
      </c>
    </row>
    <row r="1131" spans="1:8" x14ac:dyDescent="0.4">
      <c r="A1131" t="s">
        <v>23</v>
      </c>
      <c r="B1131">
        <v>2025</v>
      </c>
      <c r="C1131">
        <v>10</v>
      </c>
      <c r="D1131" t="s">
        <v>10</v>
      </c>
      <c r="E1131" t="s">
        <v>16</v>
      </c>
      <c r="F1131">
        <v>-14486</v>
      </c>
      <c r="G1131" s="3" t="s">
        <v>16</v>
      </c>
      <c r="H1131" t="str">
        <f>_xlfn.XLOOKUP(TRIM(D1131),對應!D:D,對應!E:E,"未對應")</f>
        <v>3通路方案</v>
      </c>
    </row>
    <row r="1132" spans="1:8" x14ac:dyDescent="0.4">
      <c r="A1132" t="s">
        <v>23</v>
      </c>
      <c r="B1132">
        <v>2025</v>
      </c>
      <c r="C1132">
        <v>10</v>
      </c>
      <c r="D1132" t="s">
        <v>10</v>
      </c>
      <c r="E1132" t="s">
        <v>11</v>
      </c>
      <c r="F1132">
        <v>-342929</v>
      </c>
      <c r="G1132" s="3" t="s">
        <v>12</v>
      </c>
      <c r="H1132" t="str">
        <f>_xlfn.XLOOKUP(TRIM(D1132),對應!D:D,對應!E:E,"未對應")</f>
        <v>3通路方案</v>
      </c>
    </row>
    <row r="1133" spans="1:8" x14ac:dyDescent="0.4">
      <c r="A1133" t="s">
        <v>23</v>
      </c>
      <c r="B1133">
        <v>2025</v>
      </c>
      <c r="C1133">
        <v>10</v>
      </c>
      <c r="D1133" t="s">
        <v>10</v>
      </c>
      <c r="E1133" t="s">
        <v>26</v>
      </c>
      <c r="F1133">
        <v>-17473057</v>
      </c>
      <c r="G1133" s="3" t="s">
        <v>14</v>
      </c>
      <c r="H1133" t="str">
        <f>_xlfn.XLOOKUP(TRIM(D1133),對應!D:D,對應!E:E,"未對應")</f>
        <v>3通路方案</v>
      </c>
    </row>
    <row r="1134" spans="1:8" x14ac:dyDescent="0.4">
      <c r="A1134" t="s">
        <v>23</v>
      </c>
      <c r="B1134">
        <v>2025</v>
      </c>
      <c r="C1134">
        <v>10</v>
      </c>
      <c r="D1134" t="s">
        <v>10</v>
      </c>
      <c r="E1134" t="s">
        <v>21</v>
      </c>
      <c r="F1134">
        <v>-1721948762</v>
      </c>
      <c r="G1134" s="3" t="s">
        <v>22</v>
      </c>
      <c r="H1134" t="str">
        <f>_xlfn.XLOOKUP(TRIM(D1134),對應!D:D,對應!E:E,"未對應")</f>
        <v>3通路方案</v>
      </c>
    </row>
    <row r="1135" spans="1:8" x14ac:dyDescent="0.4">
      <c r="A1135" t="s">
        <v>23</v>
      </c>
      <c r="B1135">
        <v>2025</v>
      </c>
      <c r="C1135">
        <v>10</v>
      </c>
      <c r="D1135" t="s">
        <v>15</v>
      </c>
      <c r="E1135" t="s">
        <v>16</v>
      </c>
      <c r="F1135">
        <v>-15124181</v>
      </c>
      <c r="G1135" s="3" t="s">
        <v>16</v>
      </c>
      <c r="H1135" t="str">
        <f>_xlfn.XLOOKUP(TRIM(D1135),對應!D:D,對應!E:E,"未對應")</f>
        <v>7製造</v>
      </c>
    </row>
    <row r="1136" spans="1:8" x14ac:dyDescent="0.4">
      <c r="A1136" t="s">
        <v>23</v>
      </c>
      <c r="B1136">
        <v>2025</v>
      </c>
      <c r="C1136">
        <v>10</v>
      </c>
      <c r="D1136" t="s">
        <v>15</v>
      </c>
      <c r="E1136" t="s">
        <v>16</v>
      </c>
      <c r="F1136">
        <v>-288983</v>
      </c>
      <c r="G1136" s="3" t="s">
        <v>16</v>
      </c>
      <c r="H1136" t="str">
        <f>_xlfn.XLOOKUP(TRIM(D1136),對應!D:D,對應!E:E,"未對應")</f>
        <v>7製造</v>
      </c>
    </row>
    <row r="1137" spans="1:8" x14ac:dyDescent="0.4">
      <c r="A1137" t="s">
        <v>23</v>
      </c>
      <c r="B1137">
        <v>2025</v>
      </c>
      <c r="C1137">
        <v>10</v>
      </c>
      <c r="D1137" t="s">
        <v>15</v>
      </c>
      <c r="E1137" t="s">
        <v>16</v>
      </c>
      <c r="F1137">
        <v>-64423913</v>
      </c>
      <c r="G1137" s="3" t="s">
        <v>16</v>
      </c>
      <c r="H1137" t="str">
        <f>_xlfn.XLOOKUP(TRIM(D1137),對應!D:D,對應!E:E,"未對應")</f>
        <v>7製造</v>
      </c>
    </row>
    <row r="1138" spans="1:8" x14ac:dyDescent="0.4">
      <c r="A1138" t="s">
        <v>23</v>
      </c>
      <c r="B1138">
        <v>2025</v>
      </c>
      <c r="C1138">
        <v>10</v>
      </c>
      <c r="D1138" t="s">
        <v>15</v>
      </c>
      <c r="E1138" t="s">
        <v>16</v>
      </c>
      <c r="F1138">
        <v>-356585</v>
      </c>
      <c r="G1138" s="3" t="s">
        <v>16</v>
      </c>
      <c r="H1138" t="str">
        <f>_xlfn.XLOOKUP(TRIM(D1138),對應!D:D,對應!E:E,"未對應")</f>
        <v>7製造</v>
      </c>
    </row>
    <row r="1139" spans="1:8" x14ac:dyDescent="0.4">
      <c r="A1139" t="s">
        <v>23</v>
      </c>
      <c r="B1139">
        <v>2025</v>
      </c>
      <c r="C1139">
        <v>10</v>
      </c>
      <c r="D1139" t="s">
        <v>17</v>
      </c>
      <c r="E1139" t="s">
        <v>18</v>
      </c>
      <c r="F1139">
        <v>-466607873</v>
      </c>
      <c r="G1139" s="3" t="s">
        <v>19</v>
      </c>
      <c r="H1139" t="str">
        <f>_xlfn.XLOOKUP(TRIM(D1139),對應!D:D,對應!E:E,"未對應")</f>
        <v>4筆電+盈嘉</v>
      </c>
    </row>
    <row r="1140" spans="1:8" x14ac:dyDescent="0.4">
      <c r="A1140" t="s">
        <v>23</v>
      </c>
      <c r="B1140">
        <v>2025</v>
      </c>
      <c r="C1140">
        <v>10</v>
      </c>
      <c r="D1140" t="s">
        <v>10</v>
      </c>
      <c r="E1140" t="s">
        <v>24</v>
      </c>
      <c r="F1140">
        <v>-380343486</v>
      </c>
      <c r="G1140" s="3" t="s">
        <v>14</v>
      </c>
      <c r="H1140" t="str">
        <f>_xlfn.XLOOKUP(TRIM(D1140),對應!D:D,對應!E:E,"未對應")</f>
        <v>3通路方案</v>
      </c>
    </row>
    <row r="1141" spans="1:8" x14ac:dyDescent="0.4">
      <c r="A1141" t="s">
        <v>23</v>
      </c>
      <c r="B1141">
        <v>2025</v>
      </c>
      <c r="C1141">
        <v>10</v>
      </c>
      <c r="D1141" t="s">
        <v>10</v>
      </c>
      <c r="E1141" t="s">
        <v>29</v>
      </c>
      <c r="F1141">
        <v>-30310979</v>
      </c>
      <c r="G1141" s="3" t="s">
        <v>12</v>
      </c>
      <c r="H1141" t="str">
        <f>_xlfn.XLOOKUP(TRIM(D1141),對應!D:D,對應!E:E,"未對應")</f>
        <v>3通路方案</v>
      </c>
    </row>
    <row r="1142" spans="1:8" x14ac:dyDescent="0.4">
      <c r="A1142" t="s">
        <v>23</v>
      </c>
      <c r="B1142">
        <v>2025</v>
      </c>
      <c r="C1142">
        <v>10</v>
      </c>
      <c r="D1142" t="s">
        <v>10</v>
      </c>
      <c r="E1142" t="s">
        <v>20</v>
      </c>
      <c r="F1142">
        <v>-158800</v>
      </c>
      <c r="G1142" s="3" t="s">
        <v>12</v>
      </c>
      <c r="H1142" t="str">
        <f>_xlfn.XLOOKUP(TRIM(D1142),對應!D:D,對應!E:E,"未對應")</f>
        <v>3通路方案</v>
      </c>
    </row>
    <row r="1143" spans="1:8" x14ac:dyDescent="0.4">
      <c r="A1143" t="s">
        <v>23</v>
      </c>
      <c r="B1143">
        <v>2025</v>
      </c>
      <c r="C1143">
        <v>10</v>
      </c>
      <c r="D1143" t="s">
        <v>10</v>
      </c>
      <c r="E1143" t="s">
        <v>27</v>
      </c>
      <c r="F1143">
        <v>-45807663</v>
      </c>
      <c r="G1143" s="3" t="s">
        <v>28</v>
      </c>
      <c r="H1143" t="str">
        <f>_xlfn.XLOOKUP(TRIM(D1143),對應!D:D,對應!E:E,"未對應")</f>
        <v>3通路方案</v>
      </c>
    </row>
    <row r="1144" spans="1:8" x14ac:dyDescent="0.4">
      <c r="A1144" t="s">
        <v>23</v>
      </c>
      <c r="B1144">
        <v>2025</v>
      </c>
      <c r="C1144">
        <v>10</v>
      </c>
      <c r="D1144" t="s">
        <v>10</v>
      </c>
      <c r="E1144" t="s">
        <v>16</v>
      </c>
      <c r="F1144">
        <v>-250819</v>
      </c>
      <c r="G1144" s="3" t="s">
        <v>16</v>
      </c>
      <c r="H1144" t="str">
        <f>_xlfn.XLOOKUP(TRIM(D1144),對應!D:D,對應!E:E,"未對應")</f>
        <v>3通路方案</v>
      </c>
    </row>
    <row r="1145" spans="1:8" x14ac:dyDescent="0.4">
      <c r="A1145" t="s">
        <v>23</v>
      </c>
      <c r="B1145">
        <v>2025</v>
      </c>
      <c r="C1145">
        <v>10</v>
      </c>
      <c r="D1145" t="s">
        <v>10</v>
      </c>
      <c r="E1145" t="s">
        <v>11</v>
      </c>
      <c r="F1145">
        <v>4017939</v>
      </c>
      <c r="G1145" s="3" t="s">
        <v>12</v>
      </c>
      <c r="H1145" t="str">
        <f>_xlfn.XLOOKUP(TRIM(D1145),對應!D:D,對應!E:E,"未對應")</f>
        <v>3通路方案</v>
      </c>
    </row>
    <row r="1146" spans="1:8" x14ac:dyDescent="0.4">
      <c r="A1146" t="s">
        <v>43</v>
      </c>
      <c r="B1146">
        <v>2025</v>
      </c>
      <c r="C1146">
        <v>9</v>
      </c>
      <c r="D1146" t="s">
        <v>32</v>
      </c>
      <c r="E1146" t="s">
        <v>16</v>
      </c>
      <c r="F1146">
        <v>11284968</v>
      </c>
      <c r="G1146" s="3" t="s">
        <v>32</v>
      </c>
      <c r="H1146" t="str">
        <f>_xlfn.XLOOKUP(TRIM(D1146),對應!D:D,對應!E:E,"未對應")</f>
        <v>5百事益</v>
      </c>
    </row>
    <row r="1147" spans="1:8" x14ac:dyDescent="0.4">
      <c r="A1147" t="s">
        <v>23</v>
      </c>
      <c r="B1147">
        <v>2025</v>
      </c>
      <c r="C1147">
        <v>8</v>
      </c>
      <c r="D1147" t="s">
        <v>10</v>
      </c>
      <c r="E1147" t="s">
        <v>24</v>
      </c>
      <c r="F1147">
        <v>-571161928</v>
      </c>
      <c r="G1147" s="3" t="s">
        <v>14</v>
      </c>
      <c r="H1147" t="str">
        <f>_xlfn.XLOOKUP(TRIM(D1147),對應!D:D,對應!E:E,"未對應")</f>
        <v>3通路方案</v>
      </c>
    </row>
    <row r="1148" spans="1:8" x14ac:dyDescent="0.4">
      <c r="A1148" t="s">
        <v>23</v>
      </c>
      <c r="B1148">
        <v>2025</v>
      </c>
      <c r="C1148">
        <v>8</v>
      </c>
      <c r="D1148" t="s">
        <v>10</v>
      </c>
      <c r="E1148" t="s">
        <v>29</v>
      </c>
      <c r="F1148">
        <v>-2001290</v>
      </c>
      <c r="G1148" s="3" t="s">
        <v>12</v>
      </c>
      <c r="H1148" t="str">
        <f>_xlfn.XLOOKUP(TRIM(D1148),對應!D:D,對應!E:E,"未對應")</f>
        <v>3通路方案</v>
      </c>
    </row>
    <row r="1149" spans="1:8" x14ac:dyDescent="0.4">
      <c r="A1149" t="s">
        <v>23</v>
      </c>
      <c r="B1149">
        <v>2025</v>
      </c>
      <c r="C1149">
        <v>8</v>
      </c>
      <c r="D1149" t="s">
        <v>10</v>
      </c>
      <c r="E1149" t="s">
        <v>16</v>
      </c>
      <c r="F1149">
        <v>-29870</v>
      </c>
      <c r="G1149" s="3" t="s">
        <v>16</v>
      </c>
      <c r="H1149" t="str">
        <f>_xlfn.XLOOKUP(TRIM(D1149),對應!D:D,對應!E:E,"未對應")</f>
        <v>3通路方案</v>
      </c>
    </row>
    <row r="1150" spans="1:8" x14ac:dyDescent="0.4">
      <c r="A1150" t="s">
        <v>31</v>
      </c>
      <c r="B1150">
        <v>2025</v>
      </c>
      <c r="C1150">
        <v>1</v>
      </c>
      <c r="D1150" t="s">
        <v>10</v>
      </c>
      <c r="E1150" t="s">
        <v>24</v>
      </c>
      <c r="F1150">
        <v>-1909556</v>
      </c>
      <c r="G1150" s="3" t="s">
        <v>14</v>
      </c>
      <c r="H1150" t="str">
        <f>_xlfn.XLOOKUP(TRIM(D1150),對應!D:D,對應!E:E,"未對應")</f>
        <v>3通路方案</v>
      </c>
    </row>
    <row r="1151" spans="1:8" x14ac:dyDescent="0.4">
      <c r="A1151" t="s">
        <v>31</v>
      </c>
      <c r="B1151">
        <v>2025</v>
      </c>
      <c r="C1151">
        <v>1</v>
      </c>
      <c r="D1151" t="s">
        <v>10</v>
      </c>
      <c r="E1151" t="s">
        <v>21</v>
      </c>
      <c r="F1151">
        <v>-2875279</v>
      </c>
      <c r="G1151" s="3" t="s">
        <v>22</v>
      </c>
      <c r="H1151" t="str">
        <f>_xlfn.XLOOKUP(TRIM(D1151),對應!D:D,對應!E:E,"未對應")</f>
        <v>3通路方案</v>
      </c>
    </row>
    <row r="1152" spans="1:8" x14ac:dyDescent="0.4">
      <c r="A1152" t="s">
        <v>31</v>
      </c>
      <c r="B1152">
        <v>2025</v>
      </c>
      <c r="C1152">
        <v>1</v>
      </c>
      <c r="D1152" t="s">
        <v>17</v>
      </c>
      <c r="E1152" t="s">
        <v>18</v>
      </c>
      <c r="F1152">
        <v>-115596</v>
      </c>
      <c r="G1152" s="3" t="s">
        <v>19</v>
      </c>
      <c r="H1152" t="str">
        <f>_xlfn.XLOOKUP(TRIM(D1152),對應!D:D,對應!E:E,"未對應")</f>
        <v>4筆電+盈嘉</v>
      </c>
    </row>
    <row r="1153" spans="1:8" x14ac:dyDescent="0.4">
      <c r="A1153" t="s">
        <v>31</v>
      </c>
      <c r="B1153">
        <v>2025</v>
      </c>
      <c r="C1153">
        <v>1</v>
      </c>
      <c r="D1153" t="s">
        <v>32</v>
      </c>
      <c r="E1153" t="s">
        <v>16</v>
      </c>
      <c r="F1153">
        <v>-6166309</v>
      </c>
      <c r="G1153" s="3" t="s">
        <v>32</v>
      </c>
      <c r="H1153" t="str">
        <f>_xlfn.XLOOKUP(TRIM(D1153),對應!D:D,對應!E:E,"未對應")</f>
        <v>5百事益</v>
      </c>
    </row>
    <row r="1154" spans="1:8" x14ac:dyDescent="0.4">
      <c r="A1154" t="s">
        <v>31</v>
      </c>
      <c r="B1154">
        <v>2025</v>
      </c>
      <c r="C1154">
        <v>2</v>
      </c>
      <c r="D1154" t="s">
        <v>10</v>
      </c>
      <c r="E1154" t="s">
        <v>27</v>
      </c>
      <c r="F1154">
        <v>-51462</v>
      </c>
      <c r="G1154" s="3" t="s">
        <v>28</v>
      </c>
      <c r="H1154" t="str">
        <f>_xlfn.XLOOKUP(TRIM(D1154),對應!D:D,對應!E:E,"未對應")</f>
        <v>3通路方案</v>
      </c>
    </row>
    <row r="1155" spans="1:8" x14ac:dyDescent="0.4">
      <c r="A1155" t="s">
        <v>31</v>
      </c>
      <c r="B1155">
        <v>2025</v>
      </c>
      <c r="C1155">
        <v>3</v>
      </c>
      <c r="D1155" t="s">
        <v>10</v>
      </c>
      <c r="E1155" t="s">
        <v>16</v>
      </c>
      <c r="F1155">
        <v>-1378</v>
      </c>
      <c r="G1155" s="3" t="s">
        <v>16</v>
      </c>
      <c r="H1155" t="str">
        <f>_xlfn.XLOOKUP(TRIM(D1155),對應!D:D,對應!E:E,"未對應")</f>
        <v>3通路方案</v>
      </c>
    </row>
    <row r="1156" spans="1:8" x14ac:dyDescent="0.4">
      <c r="A1156" t="s">
        <v>31</v>
      </c>
      <c r="B1156">
        <v>2025</v>
      </c>
      <c r="C1156">
        <v>3</v>
      </c>
      <c r="D1156" t="s">
        <v>32</v>
      </c>
      <c r="E1156" t="s">
        <v>16</v>
      </c>
      <c r="F1156">
        <v>-3113674</v>
      </c>
      <c r="G1156" s="3" t="s">
        <v>32</v>
      </c>
      <c r="H1156" t="str">
        <f>_xlfn.XLOOKUP(TRIM(D1156),對應!D:D,對應!E:E,"未對應")</f>
        <v>5百事益</v>
      </c>
    </row>
    <row r="1157" spans="1:8" x14ac:dyDescent="0.4">
      <c r="A1157" t="s">
        <v>31</v>
      </c>
      <c r="B1157">
        <v>2025</v>
      </c>
      <c r="C1157">
        <v>3</v>
      </c>
      <c r="D1157" t="s">
        <v>10</v>
      </c>
      <c r="E1157" t="s">
        <v>21</v>
      </c>
      <c r="F1157">
        <v>-134088</v>
      </c>
      <c r="G1157" s="3" t="s">
        <v>22</v>
      </c>
      <c r="H1157" t="str">
        <f>_xlfn.XLOOKUP(TRIM(D1157),對應!D:D,對應!E:E,"未對應")</f>
        <v>3通路方案</v>
      </c>
    </row>
    <row r="1158" spans="1:8" x14ac:dyDescent="0.4">
      <c r="A1158" t="s">
        <v>31</v>
      </c>
      <c r="B1158">
        <v>2025</v>
      </c>
      <c r="C1158">
        <v>3</v>
      </c>
      <c r="D1158" t="s">
        <v>32</v>
      </c>
      <c r="E1158" t="s">
        <v>16</v>
      </c>
      <c r="F1158">
        <v>-41777</v>
      </c>
      <c r="G1158" s="3" t="s">
        <v>32</v>
      </c>
      <c r="H1158" t="str">
        <f>_xlfn.XLOOKUP(TRIM(D1158),對應!D:D,對應!E:E,"未對應")</f>
        <v>5百事益</v>
      </c>
    </row>
    <row r="1159" spans="1:8" x14ac:dyDescent="0.4">
      <c r="A1159" t="s">
        <v>31</v>
      </c>
      <c r="B1159">
        <v>2025</v>
      </c>
      <c r="C1159">
        <v>4</v>
      </c>
      <c r="D1159" t="s">
        <v>10</v>
      </c>
      <c r="E1159" t="s">
        <v>24</v>
      </c>
      <c r="F1159">
        <v>-2490188</v>
      </c>
      <c r="G1159" s="3" t="s">
        <v>14</v>
      </c>
      <c r="H1159" t="str">
        <f>_xlfn.XLOOKUP(TRIM(D1159),對應!D:D,對應!E:E,"未對應")</f>
        <v>3通路方案</v>
      </c>
    </row>
    <row r="1160" spans="1:8" x14ac:dyDescent="0.4">
      <c r="A1160" t="s">
        <v>45</v>
      </c>
      <c r="B1160">
        <v>2025</v>
      </c>
      <c r="C1160">
        <v>6</v>
      </c>
      <c r="D1160" t="s">
        <v>15</v>
      </c>
      <c r="E1160" t="s">
        <v>16</v>
      </c>
      <c r="F1160">
        <v>190019</v>
      </c>
      <c r="G1160" s="3" t="s">
        <v>16</v>
      </c>
      <c r="H1160" t="str">
        <f>_xlfn.XLOOKUP(TRIM(D1160),對應!D:D,對應!E:E,"未對應")</f>
        <v>7製造</v>
      </c>
    </row>
    <row r="1161" spans="1:8" x14ac:dyDescent="0.4">
      <c r="A1161" t="s">
        <v>43</v>
      </c>
      <c r="B1161">
        <v>2025</v>
      </c>
      <c r="C1161">
        <v>1</v>
      </c>
      <c r="D1161" t="s">
        <v>10</v>
      </c>
      <c r="E1161" t="s">
        <v>24</v>
      </c>
      <c r="F1161">
        <v>889239776</v>
      </c>
      <c r="G1161" s="3" t="s">
        <v>14</v>
      </c>
      <c r="H1161" t="str">
        <f>_xlfn.XLOOKUP(TRIM(D1161),對應!D:D,對應!E:E,"未對應")</f>
        <v>3通路方案</v>
      </c>
    </row>
    <row r="1162" spans="1:8" x14ac:dyDescent="0.4">
      <c r="A1162" t="s">
        <v>23</v>
      </c>
      <c r="B1162">
        <v>2025</v>
      </c>
      <c r="C1162">
        <v>8</v>
      </c>
      <c r="D1162" t="s">
        <v>17</v>
      </c>
      <c r="E1162" t="s">
        <v>18</v>
      </c>
      <c r="F1162">
        <v>-287656959</v>
      </c>
      <c r="G1162" s="3" t="s">
        <v>19</v>
      </c>
      <c r="H1162" t="str">
        <f>_xlfn.XLOOKUP(TRIM(D1162),對應!D:D,對應!E:E,"未對應")</f>
        <v>4筆電+盈嘉</v>
      </c>
    </row>
    <row r="1163" spans="1:8" x14ac:dyDescent="0.4">
      <c r="A1163" t="s">
        <v>23</v>
      </c>
      <c r="B1163">
        <v>2025</v>
      </c>
      <c r="C1163">
        <v>8</v>
      </c>
      <c r="D1163" t="s">
        <v>10</v>
      </c>
      <c r="E1163" t="s">
        <v>24</v>
      </c>
      <c r="F1163">
        <v>-172923003</v>
      </c>
      <c r="G1163" s="3" t="s">
        <v>14</v>
      </c>
      <c r="H1163" t="str">
        <f>_xlfn.XLOOKUP(TRIM(D1163),對應!D:D,對應!E:E,"未對應")</f>
        <v>3通路方案</v>
      </c>
    </row>
    <row r="1164" spans="1:8" x14ac:dyDescent="0.4">
      <c r="A1164" t="s">
        <v>23</v>
      </c>
      <c r="B1164">
        <v>2025</v>
      </c>
      <c r="C1164">
        <v>8</v>
      </c>
      <c r="D1164" t="s">
        <v>10</v>
      </c>
      <c r="E1164" t="s">
        <v>20</v>
      </c>
      <c r="F1164">
        <v>-232914</v>
      </c>
      <c r="G1164" s="3" t="s">
        <v>12</v>
      </c>
      <c r="H1164" t="str">
        <f>_xlfn.XLOOKUP(TRIM(D1164),對應!D:D,對應!E:E,"未對應")</f>
        <v>3通路方案</v>
      </c>
    </row>
    <row r="1165" spans="1:8" x14ac:dyDescent="0.4">
      <c r="A1165" t="s">
        <v>23</v>
      </c>
      <c r="B1165">
        <v>2025</v>
      </c>
      <c r="C1165">
        <v>8</v>
      </c>
      <c r="D1165" t="s">
        <v>10</v>
      </c>
      <c r="E1165" t="s">
        <v>27</v>
      </c>
      <c r="F1165">
        <v>-46533732</v>
      </c>
      <c r="G1165" s="3" t="s">
        <v>28</v>
      </c>
      <c r="H1165" t="str">
        <f>_xlfn.XLOOKUP(TRIM(D1165),對應!D:D,對應!E:E,"未對應")</f>
        <v>3通路方案</v>
      </c>
    </row>
    <row r="1166" spans="1:8" x14ac:dyDescent="0.4">
      <c r="A1166" t="s">
        <v>23</v>
      </c>
      <c r="B1166">
        <v>2025</v>
      </c>
      <c r="C1166">
        <v>8</v>
      </c>
      <c r="D1166" t="s">
        <v>10</v>
      </c>
      <c r="E1166" t="s">
        <v>11</v>
      </c>
      <c r="F1166">
        <v>-1845719</v>
      </c>
      <c r="G1166" s="3" t="s">
        <v>12</v>
      </c>
      <c r="H1166" t="str">
        <f>_xlfn.XLOOKUP(TRIM(D1166),對應!D:D,對應!E:E,"未對應")</f>
        <v>3通路方案</v>
      </c>
    </row>
    <row r="1167" spans="1:8" x14ac:dyDescent="0.4">
      <c r="A1167" t="s">
        <v>23</v>
      </c>
      <c r="B1167">
        <v>2025</v>
      </c>
      <c r="C1167">
        <v>8</v>
      </c>
      <c r="D1167" t="s">
        <v>10</v>
      </c>
      <c r="E1167" t="s">
        <v>26</v>
      </c>
      <c r="F1167">
        <v>-688616</v>
      </c>
      <c r="G1167" s="3" t="s">
        <v>14</v>
      </c>
      <c r="H1167" t="str">
        <f>_xlfn.XLOOKUP(TRIM(D1167),對應!D:D,對應!E:E,"未對應")</f>
        <v>3通路方案</v>
      </c>
    </row>
    <row r="1168" spans="1:8" x14ac:dyDescent="0.4">
      <c r="A1168" t="s">
        <v>23</v>
      </c>
      <c r="B1168">
        <v>2025</v>
      </c>
      <c r="C1168">
        <v>8</v>
      </c>
      <c r="D1168" t="s">
        <v>10</v>
      </c>
      <c r="E1168" t="s">
        <v>21</v>
      </c>
      <c r="F1168">
        <v>-1694548670</v>
      </c>
      <c r="G1168" s="3" t="s">
        <v>22</v>
      </c>
      <c r="H1168" t="str">
        <f>_xlfn.XLOOKUP(TRIM(D1168),對應!D:D,對應!E:E,"未對應")</f>
        <v>3通路方案</v>
      </c>
    </row>
    <row r="1169" spans="1:8" x14ac:dyDescent="0.4">
      <c r="A1169" t="s">
        <v>23</v>
      </c>
      <c r="B1169">
        <v>2025</v>
      </c>
      <c r="C1169">
        <v>8</v>
      </c>
      <c r="D1169" t="s">
        <v>10</v>
      </c>
      <c r="E1169" t="s">
        <v>26</v>
      </c>
      <c r="F1169">
        <v>-5970607</v>
      </c>
      <c r="G1169" s="3" t="s">
        <v>14</v>
      </c>
      <c r="H1169" t="str">
        <f>_xlfn.XLOOKUP(TRIM(D1169),對應!D:D,對應!E:E,"未對應")</f>
        <v>3通路方案</v>
      </c>
    </row>
    <row r="1170" spans="1:8" x14ac:dyDescent="0.4">
      <c r="A1170" t="s">
        <v>23</v>
      </c>
      <c r="B1170">
        <v>2025</v>
      </c>
      <c r="C1170">
        <v>8</v>
      </c>
      <c r="D1170" t="s">
        <v>17</v>
      </c>
      <c r="E1170" t="s">
        <v>18</v>
      </c>
      <c r="F1170">
        <v>-7122037</v>
      </c>
      <c r="G1170" s="3" t="s">
        <v>19</v>
      </c>
      <c r="H1170" t="str">
        <f>_xlfn.XLOOKUP(TRIM(D1170),對應!D:D,對應!E:E,"未對應")</f>
        <v>4筆電+盈嘉</v>
      </c>
    </row>
    <row r="1171" spans="1:8" x14ac:dyDescent="0.4">
      <c r="A1171" t="s">
        <v>23</v>
      </c>
      <c r="B1171">
        <v>2025</v>
      </c>
      <c r="C1171">
        <v>8</v>
      </c>
      <c r="D1171" t="s">
        <v>10</v>
      </c>
      <c r="E1171" t="s">
        <v>24</v>
      </c>
      <c r="F1171">
        <v>-17715211</v>
      </c>
      <c r="G1171" s="3" t="s">
        <v>14</v>
      </c>
      <c r="H1171" t="str">
        <f>_xlfn.XLOOKUP(TRIM(D1171),對應!D:D,對應!E:E,"未對應")</f>
        <v>3通路方案</v>
      </c>
    </row>
    <row r="1172" spans="1:8" x14ac:dyDescent="0.4">
      <c r="A1172" t="s">
        <v>23</v>
      </c>
      <c r="B1172">
        <v>2025</v>
      </c>
      <c r="C1172">
        <v>8</v>
      </c>
      <c r="D1172" t="s">
        <v>10</v>
      </c>
      <c r="E1172" t="s">
        <v>29</v>
      </c>
      <c r="F1172">
        <v>-430417</v>
      </c>
      <c r="G1172" s="3" t="s">
        <v>12</v>
      </c>
      <c r="H1172" t="str">
        <f>_xlfn.XLOOKUP(TRIM(D1172),對應!D:D,對應!E:E,"未對應")</f>
        <v>3通路方案</v>
      </c>
    </row>
    <row r="1173" spans="1:8" x14ac:dyDescent="0.4">
      <c r="A1173" t="s">
        <v>23</v>
      </c>
      <c r="B1173">
        <v>2025</v>
      </c>
      <c r="C1173">
        <v>8</v>
      </c>
      <c r="D1173" t="s">
        <v>10</v>
      </c>
      <c r="E1173" t="s">
        <v>30</v>
      </c>
      <c r="F1173">
        <v>-13435</v>
      </c>
      <c r="G1173" s="3" t="s">
        <v>12</v>
      </c>
      <c r="H1173" t="str">
        <f>_xlfn.XLOOKUP(TRIM(D1173),對應!D:D,對應!E:E,"未對應")</f>
        <v>3通路方案</v>
      </c>
    </row>
    <row r="1174" spans="1:8" x14ac:dyDescent="0.4">
      <c r="A1174" t="s">
        <v>23</v>
      </c>
      <c r="B1174">
        <v>2025</v>
      </c>
      <c r="C1174">
        <v>8</v>
      </c>
      <c r="D1174" t="s">
        <v>10</v>
      </c>
      <c r="E1174" t="s">
        <v>20</v>
      </c>
      <c r="F1174">
        <v>-32260</v>
      </c>
      <c r="G1174" s="3" t="s">
        <v>12</v>
      </c>
      <c r="H1174" t="str">
        <f>_xlfn.XLOOKUP(TRIM(D1174),對應!D:D,對應!E:E,"未對應")</f>
        <v>3通路方案</v>
      </c>
    </row>
    <row r="1175" spans="1:8" x14ac:dyDescent="0.4">
      <c r="A1175" t="s">
        <v>23</v>
      </c>
      <c r="B1175">
        <v>2025</v>
      </c>
      <c r="C1175">
        <v>8</v>
      </c>
      <c r="D1175" t="s">
        <v>10</v>
      </c>
      <c r="E1175" t="s">
        <v>27</v>
      </c>
      <c r="F1175">
        <v>-6021986</v>
      </c>
      <c r="G1175" s="3" t="s">
        <v>28</v>
      </c>
      <c r="H1175" t="str">
        <f>_xlfn.XLOOKUP(TRIM(D1175),對應!D:D,對應!E:E,"未對應")</f>
        <v>3通路方案</v>
      </c>
    </row>
    <row r="1176" spans="1:8" x14ac:dyDescent="0.4">
      <c r="A1176" t="s">
        <v>23</v>
      </c>
      <c r="B1176">
        <v>2025</v>
      </c>
      <c r="C1176">
        <v>8</v>
      </c>
      <c r="D1176" t="s">
        <v>10</v>
      </c>
      <c r="E1176" t="s">
        <v>16</v>
      </c>
      <c r="F1176">
        <v>-537</v>
      </c>
      <c r="G1176" s="3" t="s">
        <v>16</v>
      </c>
      <c r="H1176" t="str">
        <f>_xlfn.XLOOKUP(TRIM(D1176),對應!D:D,對應!E:E,"未對應")</f>
        <v>3通路方案</v>
      </c>
    </row>
    <row r="1177" spans="1:8" x14ac:dyDescent="0.4">
      <c r="A1177" t="s">
        <v>23</v>
      </c>
      <c r="B1177">
        <v>2025</v>
      </c>
      <c r="C1177">
        <v>8</v>
      </c>
      <c r="D1177" t="s">
        <v>10</v>
      </c>
      <c r="E1177" t="s">
        <v>11</v>
      </c>
      <c r="F1177">
        <v>-1621766</v>
      </c>
      <c r="G1177" s="3" t="s">
        <v>12</v>
      </c>
      <c r="H1177" t="str">
        <f>_xlfn.XLOOKUP(TRIM(D1177),對應!D:D,對應!E:E,"未對應")</f>
        <v>3通路方案</v>
      </c>
    </row>
    <row r="1178" spans="1:8" x14ac:dyDescent="0.4">
      <c r="A1178" t="s">
        <v>23</v>
      </c>
      <c r="B1178">
        <v>2025</v>
      </c>
      <c r="C1178">
        <v>8</v>
      </c>
      <c r="D1178" t="s">
        <v>10</v>
      </c>
      <c r="E1178" t="s">
        <v>21</v>
      </c>
      <c r="F1178">
        <v>-72954768</v>
      </c>
      <c r="G1178" s="3" t="s">
        <v>22</v>
      </c>
      <c r="H1178" t="str">
        <f>_xlfn.XLOOKUP(TRIM(D1178),對應!D:D,對應!E:E,"未對應")</f>
        <v>3通路方案</v>
      </c>
    </row>
    <row r="1179" spans="1:8" x14ac:dyDescent="0.4">
      <c r="A1179" t="s">
        <v>23</v>
      </c>
      <c r="B1179">
        <v>2025</v>
      </c>
      <c r="C1179">
        <v>8</v>
      </c>
      <c r="D1179" t="s">
        <v>15</v>
      </c>
      <c r="E1179" t="s">
        <v>16</v>
      </c>
      <c r="F1179">
        <v>-1474490</v>
      </c>
      <c r="G1179" s="3" t="s">
        <v>16</v>
      </c>
      <c r="H1179" t="str">
        <f>_xlfn.XLOOKUP(TRIM(D1179),對應!D:D,對應!E:E,"未對應")</f>
        <v>7製造</v>
      </c>
    </row>
    <row r="1180" spans="1:8" x14ac:dyDescent="0.4">
      <c r="A1180" t="s">
        <v>23</v>
      </c>
      <c r="B1180">
        <v>2025</v>
      </c>
      <c r="C1180">
        <v>8</v>
      </c>
      <c r="D1180" t="s">
        <v>17</v>
      </c>
      <c r="E1180" t="s">
        <v>18</v>
      </c>
      <c r="F1180">
        <v>-878919</v>
      </c>
      <c r="G1180" s="3" t="s">
        <v>19</v>
      </c>
      <c r="H1180" t="str">
        <f>_xlfn.XLOOKUP(TRIM(D1180),對應!D:D,對應!E:E,"未對應")</f>
        <v>4筆電+盈嘉</v>
      </c>
    </row>
    <row r="1181" spans="1:8" x14ac:dyDescent="0.4">
      <c r="A1181" t="s">
        <v>23</v>
      </c>
      <c r="B1181">
        <v>2025</v>
      </c>
      <c r="C1181">
        <v>8</v>
      </c>
      <c r="D1181" t="s">
        <v>10</v>
      </c>
      <c r="E1181" t="s">
        <v>16</v>
      </c>
      <c r="F1181">
        <v>-6650888</v>
      </c>
      <c r="G1181" s="3" t="s">
        <v>16</v>
      </c>
      <c r="H1181" t="str">
        <f>_xlfn.XLOOKUP(TRIM(D1181),對應!D:D,對應!E:E,"未對應")</f>
        <v>3通路方案</v>
      </c>
    </row>
    <row r="1182" spans="1:8" x14ac:dyDescent="0.4">
      <c r="A1182" t="s">
        <v>23</v>
      </c>
      <c r="B1182">
        <v>2025</v>
      </c>
      <c r="C1182">
        <v>8</v>
      </c>
      <c r="D1182" t="s">
        <v>15</v>
      </c>
      <c r="E1182" t="s">
        <v>16</v>
      </c>
      <c r="F1182">
        <v>-4481</v>
      </c>
      <c r="G1182" s="3" t="s">
        <v>16</v>
      </c>
      <c r="H1182" t="str">
        <f>_xlfn.XLOOKUP(TRIM(D1182),對應!D:D,對應!E:E,"未對應")</f>
        <v>7製造</v>
      </c>
    </row>
    <row r="1183" spans="1:8" x14ac:dyDescent="0.4">
      <c r="A1183" t="s">
        <v>44</v>
      </c>
      <c r="B1183">
        <v>2025</v>
      </c>
      <c r="C1183">
        <v>8</v>
      </c>
      <c r="D1183" t="s">
        <v>32</v>
      </c>
      <c r="F1183">
        <v>103706</v>
      </c>
      <c r="G1183" s="3" t="s">
        <v>32</v>
      </c>
      <c r="H1183" t="str">
        <f>_xlfn.XLOOKUP(TRIM(D1183),對應!D:D,對應!E:E,"未對應")</f>
        <v>5百事益</v>
      </c>
    </row>
    <row r="1184" spans="1:8" x14ac:dyDescent="0.4">
      <c r="A1184" t="s">
        <v>44</v>
      </c>
      <c r="B1184">
        <v>2025</v>
      </c>
      <c r="C1184">
        <v>8</v>
      </c>
      <c r="D1184" t="s">
        <v>32</v>
      </c>
      <c r="F1184">
        <v>1489791</v>
      </c>
      <c r="G1184" s="3" t="s">
        <v>32</v>
      </c>
      <c r="H1184" t="str">
        <f>_xlfn.XLOOKUP(TRIM(D1184),對應!D:D,對應!E:E,"未對應")</f>
        <v>5百事益</v>
      </c>
    </row>
    <row r="1185" spans="1:8" x14ac:dyDescent="0.4">
      <c r="A1185" t="s">
        <v>44</v>
      </c>
      <c r="B1185">
        <v>2025</v>
      </c>
      <c r="C1185">
        <v>8</v>
      </c>
      <c r="D1185" t="s">
        <v>32</v>
      </c>
      <c r="F1185">
        <v>16262769</v>
      </c>
      <c r="G1185" s="3" t="s">
        <v>32</v>
      </c>
      <c r="H1185" t="str">
        <f>_xlfn.XLOOKUP(TRIM(D1185),對應!D:D,對應!E:E,"未對應")</f>
        <v>5百事益</v>
      </c>
    </row>
    <row r="1186" spans="1:8" x14ac:dyDescent="0.4">
      <c r="A1186" t="s">
        <v>31</v>
      </c>
      <c r="B1186">
        <v>2025</v>
      </c>
      <c r="C1186">
        <v>8</v>
      </c>
      <c r="D1186" t="s">
        <v>32</v>
      </c>
      <c r="E1186" t="s">
        <v>16</v>
      </c>
      <c r="F1186">
        <v>-1530532</v>
      </c>
      <c r="G1186" s="3" t="s">
        <v>32</v>
      </c>
      <c r="H1186" t="str">
        <f>_xlfn.XLOOKUP(TRIM(D1186),對應!D:D,對應!E:E,"未對應")</f>
        <v>5百事益</v>
      </c>
    </row>
    <row r="1187" spans="1:8" x14ac:dyDescent="0.4">
      <c r="A1187" t="s">
        <v>31</v>
      </c>
      <c r="B1187">
        <v>2025</v>
      </c>
      <c r="C1187">
        <v>8</v>
      </c>
      <c r="D1187" t="s">
        <v>10</v>
      </c>
      <c r="E1187" t="s">
        <v>21</v>
      </c>
      <c r="F1187">
        <v>-26391</v>
      </c>
      <c r="G1187" s="3" t="s">
        <v>22</v>
      </c>
      <c r="H1187" t="str">
        <f>_xlfn.XLOOKUP(TRIM(D1187),對應!D:D,對應!E:E,"未對應")</f>
        <v>3通路方案</v>
      </c>
    </row>
    <row r="1188" spans="1:8" x14ac:dyDescent="0.4">
      <c r="A1188" t="s">
        <v>31</v>
      </c>
      <c r="B1188">
        <v>2025</v>
      </c>
      <c r="C1188">
        <v>8</v>
      </c>
      <c r="D1188" t="s">
        <v>32</v>
      </c>
      <c r="E1188" t="s">
        <v>16</v>
      </c>
      <c r="F1188">
        <v>-750219</v>
      </c>
      <c r="G1188" s="3" t="s">
        <v>32</v>
      </c>
      <c r="H1188" t="str">
        <f>_xlfn.XLOOKUP(TRIM(D1188),對應!D:D,對應!E:E,"未對應")</f>
        <v>5百事益</v>
      </c>
    </row>
    <row r="1189" spans="1:8" x14ac:dyDescent="0.4">
      <c r="A1189" t="s">
        <v>31</v>
      </c>
      <c r="B1189">
        <v>2025</v>
      </c>
      <c r="C1189">
        <v>8</v>
      </c>
      <c r="D1189" t="s">
        <v>10</v>
      </c>
      <c r="E1189" t="s">
        <v>24</v>
      </c>
      <c r="F1189">
        <v>-1511249</v>
      </c>
      <c r="G1189" s="3" t="s">
        <v>14</v>
      </c>
      <c r="H1189" t="str">
        <f>_xlfn.XLOOKUP(TRIM(D1189),對應!D:D,對應!E:E,"未對應")</f>
        <v>3通路方案</v>
      </c>
    </row>
    <row r="1190" spans="1:8" x14ac:dyDescent="0.4">
      <c r="A1190" t="s">
        <v>31</v>
      </c>
      <c r="B1190">
        <v>2025</v>
      </c>
      <c r="C1190">
        <v>8</v>
      </c>
      <c r="D1190" t="s">
        <v>10</v>
      </c>
      <c r="E1190" t="s">
        <v>21</v>
      </c>
      <c r="F1190">
        <v>-8618618</v>
      </c>
      <c r="G1190" s="3" t="s">
        <v>22</v>
      </c>
      <c r="H1190" t="str">
        <f>_xlfn.XLOOKUP(TRIM(D1190),對應!D:D,對應!E:E,"未對應")</f>
        <v>3通路方案</v>
      </c>
    </row>
    <row r="1191" spans="1:8" x14ac:dyDescent="0.4">
      <c r="A1191" t="s">
        <v>31</v>
      </c>
      <c r="B1191">
        <v>2025</v>
      </c>
      <c r="C1191">
        <v>8</v>
      </c>
      <c r="D1191" t="s">
        <v>10</v>
      </c>
      <c r="E1191" t="s">
        <v>16</v>
      </c>
      <c r="F1191">
        <v>-1233747</v>
      </c>
      <c r="G1191" s="3" t="s">
        <v>16</v>
      </c>
      <c r="H1191" t="str">
        <f>_xlfn.XLOOKUP(TRIM(D1191),對應!D:D,對應!E:E,"未對應")</f>
        <v>3通路方案</v>
      </c>
    </row>
    <row r="1192" spans="1:8" x14ac:dyDescent="0.4">
      <c r="A1192" t="s">
        <v>31</v>
      </c>
      <c r="B1192">
        <v>2025</v>
      </c>
      <c r="C1192">
        <v>8</v>
      </c>
      <c r="D1192" t="s">
        <v>10</v>
      </c>
      <c r="E1192" t="s">
        <v>16</v>
      </c>
      <c r="F1192">
        <v>-4573473</v>
      </c>
      <c r="G1192" s="3" t="s">
        <v>16</v>
      </c>
      <c r="H1192" t="str">
        <f>_xlfn.XLOOKUP(TRIM(D1192),對應!D:D,對應!E:E,"未對應")</f>
        <v>3通路方案</v>
      </c>
    </row>
    <row r="1193" spans="1:8" x14ac:dyDescent="0.4">
      <c r="A1193" t="s">
        <v>31</v>
      </c>
      <c r="B1193">
        <v>2025</v>
      </c>
      <c r="C1193">
        <v>8</v>
      </c>
      <c r="D1193" t="s">
        <v>32</v>
      </c>
      <c r="E1193" t="s">
        <v>16</v>
      </c>
      <c r="F1193">
        <v>-3193267</v>
      </c>
      <c r="G1193" s="3" t="s">
        <v>32</v>
      </c>
      <c r="H1193" t="str">
        <f>_xlfn.XLOOKUP(TRIM(D1193),對應!D:D,對應!E:E,"未對應")</f>
        <v>5百事益</v>
      </c>
    </row>
    <row r="1194" spans="1:8" x14ac:dyDescent="0.4">
      <c r="A1194" t="s">
        <v>31</v>
      </c>
      <c r="B1194">
        <v>2025</v>
      </c>
      <c r="C1194">
        <v>9</v>
      </c>
      <c r="D1194" t="s">
        <v>10</v>
      </c>
      <c r="E1194" t="s">
        <v>26</v>
      </c>
      <c r="F1194">
        <v>-62553</v>
      </c>
      <c r="G1194" s="3" t="s">
        <v>14</v>
      </c>
      <c r="H1194" t="str">
        <f>_xlfn.XLOOKUP(TRIM(D1194),對應!D:D,對應!E:E,"未對應")</f>
        <v>3通路方案</v>
      </c>
    </row>
    <row r="1195" spans="1:8" x14ac:dyDescent="0.4">
      <c r="A1195" t="s">
        <v>31</v>
      </c>
      <c r="B1195">
        <v>2025</v>
      </c>
      <c r="C1195">
        <v>9</v>
      </c>
      <c r="D1195" t="s">
        <v>10</v>
      </c>
      <c r="E1195" t="s">
        <v>21</v>
      </c>
      <c r="F1195">
        <v>-14710951</v>
      </c>
      <c r="G1195" s="3" t="s">
        <v>22</v>
      </c>
      <c r="H1195" t="str">
        <f>_xlfn.XLOOKUP(TRIM(D1195),對應!D:D,對應!E:E,"未對應")</f>
        <v>3通路方案</v>
      </c>
    </row>
    <row r="1196" spans="1:8" x14ac:dyDescent="0.4">
      <c r="A1196" t="s">
        <v>31</v>
      </c>
      <c r="B1196">
        <v>2025</v>
      </c>
      <c r="C1196">
        <v>9</v>
      </c>
      <c r="D1196" t="s">
        <v>10</v>
      </c>
      <c r="E1196" t="s">
        <v>16</v>
      </c>
      <c r="F1196">
        <v>-642256</v>
      </c>
      <c r="G1196" s="3" t="s">
        <v>16</v>
      </c>
      <c r="H1196" t="str">
        <f>_xlfn.XLOOKUP(TRIM(D1196),對應!D:D,對應!E:E,"未對應")</f>
        <v>3通路方案</v>
      </c>
    </row>
    <row r="1197" spans="1:8" x14ac:dyDescent="0.4">
      <c r="A1197" t="s">
        <v>31</v>
      </c>
      <c r="B1197">
        <v>2025</v>
      </c>
      <c r="C1197">
        <v>9</v>
      </c>
      <c r="D1197" t="s">
        <v>32</v>
      </c>
      <c r="E1197" t="s">
        <v>16</v>
      </c>
      <c r="F1197">
        <v>-30469</v>
      </c>
      <c r="G1197" s="3" t="s">
        <v>32</v>
      </c>
      <c r="H1197" t="str">
        <f>_xlfn.XLOOKUP(TRIM(D1197),對應!D:D,對應!E:E,"未對應")</f>
        <v>5百事益</v>
      </c>
    </row>
    <row r="1198" spans="1:8" x14ac:dyDescent="0.4">
      <c r="A1198" t="s">
        <v>7</v>
      </c>
      <c r="B1198">
        <v>2025</v>
      </c>
      <c r="C1198">
        <v>11</v>
      </c>
      <c r="D1198" t="s">
        <v>15</v>
      </c>
      <c r="E1198" t="s">
        <v>16</v>
      </c>
      <c r="F1198">
        <v>557233</v>
      </c>
      <c r="G1198" s="3" t="s">
        <v>16</v>
      </c>
      <c r="H1198" t="str">
        <f>_xlfn.XLOOKUP(TRIM(D1198),對應!D:D,對應!E:E,"未對應")</f>
        <v>7製造</v>
      </c>
    </row>
    <row r="1199" spans="1:8" x14ac:dyDescent="0.4">
      <c r="A1199" t="s">
        <v>7</v>
      </c>
      <c r="B1199">
        <v>2025</v>
      </c>
      <c r="C1199">
        <v>11</v>
      </c>
      <c r="D1199" t="s">
        <v>17</v>
      </c>
      <c r="E1199" t="s">
        <v>18</v>
      </c>
      <c r="F1199">
        <v>937856386</v>
      </c>
      <c r="G1199" s="3" t="s">
        <v>19</v>
      </c>
      <c r="H1199" t="str">
        <f>_xlfn.XLOOKUP(TRIM(D1199),對應!D:D,對應!E:E,"未對應")</f>
        <v>4筆電+盈嘉</v>
      </c>
    </row>
    <row r="1200" spans="1:8" x14ac:dyDescent="0.4">
      <c r="A1200" t="s">
        <v>7</v>
      </c>
      <c r="B1200">
        <v>2025</v>
      </c>
      <c r="C1200">
        <v>11</v>
      </c>
      <c r="D1200" t="s">
        <v>10</v>
      </c>
      <c r="E1200" t="s">
        <v>24</v>
      </c>
      <c r="F1200">
        <v>2223895326</v>
      </c>
      <c r="G1200" s="3" t="s">
        <v>14</v>
      </c>
      <c r="H1200" t="str">
        <f>_xlfn.XLOOKUP(TRIM(D1200),對應!D:D,對應!E:E,"未對應")</f>
        <v>3通路方案</v>
      </c>
    </row>
    <row r="1201" spans="1:8" x14ac:dyDescent="0.4">
      <c r="A1201" t="s">
        <v>7</v>
      </c>
      <c r="B1201">
        <v>2025</v>
      </c>
      <c r="C1201">
        <v>11</v>
      </c>
      <c r="D1201" t="s">
        <v>10</v>
      </c>
      <c r="E1201" t="s">
        <v>29</v>
      </c>
      <c r="F1201">
        <v>70988142</v>
      </c>
      <c r="G1201" s="3" t="s">
        <v>12</v>
      </c>
      <c r="H1201" t="str">
        <f>_xlfn.XLOOKUP(TRIM(D1201),對應!D:D,對應!E:E,"未對應")</f>
        <v>3通路方案</v>
      </c>
    </row>
    <row r="1202" spans="1:8" x14ac:dyDescent="0.4">
      <c r="A1202" t="s">
        <v>7</v>
      </c>
      <c r="B1202">
        <v>2025</v>
      </c>
      <c r="C1202">
        <v>11</v>
      </c>
      <c r="D1202" t="s">
        <v>10</v>
      </c>
      <c r="E1202" t="s">
        <v>30</v>
      </c>
      <c r="F1202">
        <v>3603292</v>
      </c>
      <c r="G1202" s="3" t="s">
        <v>12</v>
      </c>
      <c r="H1202" t="str">
        <f>_xlfn.XLOOKUP(TRIM(D1202),對應!D:D,對應!E:E,"未對應")</f>
        <v>3通路方案</v>
      </c>
    </row>
    <row r="1203" spans="1:8" x14ac:dyDescent="0.4">
      <c r="A1203" t="s">
        <v>7</v>
      </c>
      <c r="B1203">
        <v>2025</v>
      </c>
      <c r="C1203">
        <v>11</v>
      </c>
      <c r="D1203" t="s">
        <v>10</v>
      </c>
      <c r="E1203" t="s">
        <v>20</v>
      </c>
      <c r="F1203">
        <v>8058523</v>
      </c>
      <c r="G1203" s="3" t="s">
        <v>12</v>
      </c>
      <c r="H1203" t="str">
        <f>_xlfn.XLOOKUP(TRIM(D1203),對應!D:D,對應!E:E,"未對應")</f>
        <v>3通路方案</v>
      </c>
    </row>
    <row r="1204" spans="1:8" x14ac:dyDescent="0.4">
      <c r="A1204" t="s">
        <v>7</v>
      </c>
      <c r="B1204">
        <v>2025</v>
      </c>
      <c r="C1204">
        <v>11</v>
      </c>
      <c r="D1204" t="s">
        <v>10</v>
      </c>
      <c r="E1204" t="s">
        <v>25</v>
      </c>
      <c r="F1204">
        <v>159318</v>
      </c>
      <c r="G1204" s="3" t="s">
        <v>14</v>
      </c>
      <c r="H1204" t="str">
        <f>_xlfn.XLOOKUP(TRIM(D1204),對應!D:D,對應!E:E,"未對應")</f>
        <v>3通路方案</v>
      </c>
    </row>
    <row r="1205" spans="1:8" x14ac:dyDescent="0.4">
      <c r="A1205" t="s">
        <v>7</v>
      </c>
      <c r="B1205">
        <v>2025</v>
      </c>
      <c r="C1205">
        <v>11</v>
      </c>
      <c r="D1205" t="s">
        <v>10</v>
      </c>
      <c r="E1205" t="s">
        <v>27</v>
      </c>
      <c r="F1205">
        <v>280811348</v>
      </c>
      <c r="G1205" s="3" t="s">
        <v>28</v>
      </c>
      <c r="H1205" t="str">
        <f>_xlfn.XLOOKUP(TRIM(D1205),對應!D:D,對應!E:E,"未對應")</f>
        <v>3通路方案</v>
      </c>
    </row>
    <row r="1206" spans="1:8" x14ac:dyDescent="0.4">
      <c r="A1206" t="s">
        <v>7</v>
      </c>
      <c r="B1206">
        <v>2025</v>
      </c>
      <c r="C1206">
        <v>11</v>
      </c>
      <c r="D1206" t="s">
        <v>10</v>
      </c>
      <c r="E1206" t="s">
        <v>16</v>
      </c>
      <c r="F1206">
        <v>-16624650</v>
      </c>
      <c r="G1206" s="3" t="s">
        <v>16</v>
      </c>
      <c r="H1206" t="str">
        <f>_xlfn.XLOOKUP(TRIM(D1206),對應!D:D,對應!E:E,"未對應")</f>
        <v>3通路方案</v>
      </c>
    </row>
    <row r="1207" spans="1:8" x14ac:dyDescent="0.4">
      <c r="A1207" t="s">
        <v>7</v>
      </c>
      <c r="B1207">
        <v>2025</v>
      </c>
      <c r="C1207">
        <v>11</v>
      </c>
      <c r="D1207" t="s">
        <v>10</v>
      </c>
      <c r="E1207" t="s">
        <v>38</v>
      </c>
      <c r="F1207">
        <v>1015378</v>
      </c>
      <c r="G1207" s="3" t="s">
        <v>12</v>
      </c>
      <c r="H1207" t="str">
        <f>_xlfn.XLOOKUP(TRIM(D1207),對應!D:D,對應!E:E,"未對應")</f>
        <v>3通路方案</v>
      </c>
    </row>
    <row r="1208" spans="1:8" x14ac:dyDescent="0.4">
      <c r="A1208" t="s">
        <v>7</v>
      </c>
      <c r="B1208">
        <v>2025</v>
      </c>
      <c r="C1208">
        <v>11</v>
      </c>
      <c r="D1208" t="s">
        <v>10</v>
      </c>
      <c r="E1208" t="s">
        <v>11</v>
      </c>
      <c r="F1208">
        <v>77301396</v>
      </c>
      <c r="G1208" s="3" t="s">
        <v>12</v>
      </c>
      <c r="H1208" t="str">
        <f>_xlfn.XLOOKUP(TRIM(D1208),對應!D:D,對應!E:E,"未對應")</f>
        <v>3通路方案</v>
      </c>
    </row>
    <row r="1209" spans="1:8" x14ac:dyDescent="0.4">
      <c r="A1209" t="s">
        <v>7</v>
      </c>
      <c r="B1209">
        <v>2025</v>
      </c>
      <c r="C1209">
        <v>11</v>
      </c>
      <c r="D1209" t="s">
        <v>10</v>
      </c>
      <c r="E1209" t="s">
        <v>13</v>
      </c>
      <c r="F1209">
        <v>-35626</v>
      </c>
      <c r="G1209" s="3" t="s">
        <v>14</v>
      </c>
      <c r="H1209" t="str">
        <f>_xlfn.XLOOKUP(TRIM(D1209),對應!D:D,對應!E:E,"未對應")</f>
        <v>3通路方案</v>
      </c>
    </row>
    <row r="1210" spans="1:8" x14ac:dyDescent="0.4">
      <c r="A1210" t="s">
        <v>7</v>
      </c>
      <c r="B1210">
        <v>2025</v>
      </c>
      <c r="C1210">
        <v>11</v>
      </c>
      <c r="D1210" t="s">
        <v>10</v>
      </c>
      <c r="E1210" t="s">
        <v>26</v>
      </c>
      <c r="F1210">
        <v>67491748</v>
      </c>
      <c r="G1210" s="3" t="s">
        <v>14</v>
      </c>
      <c r="H1210" t="str">
        <f>_xlfn.XLOOKUP(TRIM(D1210),對應!D:D,對應!E:E,"未對應")</f>
        <v>3通路方案</v>
      </c>
    </row>
    <row r="1211" spans="1:8" x14ac:dyDescent="0.4">
      <c r="A1211" t="s">
        <v>7</v>
      </c>
      <c r="B1211">
        <v>2025</v>
      </c>
      <c r="C1211">
        <v>11</v>
      </c>
      <c r="D1211" t="s">
        <v>10</v>
      </c>
      <c r="E1211" t="s">
        <v>21</v>
      </c>
      <c r="F1211">
        <v>7485593230</v>
      </c>
      <c r="G1211" s="3" t="s">
        <v>22</v>
      </c>
      <c r="H1211" t="str">
        <f>_xlfn.XLOOKUP(TRIM(D1211),對應!D:D,對應!E:E,"未對應")</f>
        <v>3通路方案</v>
      </c>
    </row>
    <row r="1212" spans="1:8" x14ac:dyDescent="0.4">
      <c r="A1212" t="s">
        <v>7</v>
      </c>
      <c r="B1212">
        <v>2025</v>
      </c>
      <c r="C1212">
        <v>11</v>
      </c>
      <c r="D1212" t="s">
        <v>8</v>
      </c>
      <c r="E1212" t="s">
        <v>33</v>
      </c>
      <c r="F1212">
        <v>94531277</v>
      </c>
      <c r="G1212" s="3" t="s">
        <v>9</v>
      </c>
      <c r="H1212" t="str">
        <f>_xlfn.XLOOKUP(TRIM(D1212),對應!D:D,對應!E:E,"未對應")</f>
        <v>1網通+技鋼</v>
      </c>
    </row>
    <row r="1213" spans="1:8" x14ac:dyDescent="0.4">
      <c r="A1213" t="s">
        <v>7</v>
      </c>
      <c r="B1213">
        <v>2025</v>
      </c>
      <c r="C1213">
        <v>11</v>
      </c>
      <c r="D1213" t="s">
        <v>15</v>
      </c>
      <c r="E1213" t="s">
        <v>16</v>
      </c>
      <c r="F1213">
        <v>75439391</v>
      </c>
      <c r="G1213" s="3" t="s">
        <v>16</v>
      </c>
      <c r="H1213" t="str">
        <f>_xlfn.XLOOKUP(TRIM(D1213),對應!D:D,對應!E:E,"未對應")</f>
        <v>7製造</v>
      </c>
    </row>
    <row r="1214" spans="1:8" x14ac:dyDescent="0.4">
      <c r="A1214" t="s">
        <v>23</v>
      </c>
      <c r="B1214">
        <v>2025</v>
      </c>
      <c r="C1214">
        <v>11</v>
      </c>
      <c r="D1214" t="s">
        <v>10</v>
      </c>
      <c r="E1214" t="s">
        <v>26</v>
      </c>
      <c r="F1214">
        <v>-680</v>
      </c>
      <c r="G1214" s="3" t="s">
        <v>14</v>
      </c>
      <c r="H1214" t="str">
        <f>_xlfn.XLOOKUP(TRIM(D1214),對應!D:D,對應!E:E,"未對應")</f>
        <v>3通路方案</v>
      </c>
    </row>
    <row r="1215" spans="1:8" x14ac:dyDescent="0.4">
      <c r="A1215" t="s">
        <v>23</v>
      </c>
      <c r="B1215">
        <v>2025</v>
      </c>
      <c r="C1215">
        <v>11</v>
      </c>
      <c r="D1215" t="s">
        <v>10</v>
      </c>
      <c r="E1215" t="s">
        <v>24</v>
      </c>
      <c r="F1215">
        <v>-394647165</v>
      </c>
      <c r="G1215" s="3" t="s">
        <v>14</v>
      </c>
      <c r="H1215" t="str">
        <f>_xlfn.XLOOKUP(TRIM(D1215),對應!D:D,對應!E:E,"未對應")</f>
        <v>3通路方案</v>
      </c>
    </row>
    <row r="1216" spans="1:8" x14ac:dyDescent="0.4">
      <c r="A1216" t="s">
        <v>23</v>
      </c>
      <c r="B1216">
        <v>2025</v>
      </c>
      <c r="C1216">
        <v>11</v>
      </c>
      <c r="D1216" t="s">
        <v>10</v>
      </c>
      <c r="E1216" t="s">
        <v>29</v>
      </c>
      <c r="F1216">
        <v>-2908135</v>
      </c>
      <c r="G1216" s="3" t="s">
        <v>12</v>
      </c>
      <c r="H1216" t="str">
        <f>_xlfn.XLOOKUP(TRIM(D1216),對應!D:D,對應!E:E,"未對應")</f>
        <v>3通路方案</v>
      </c>
    </row>
    <row r="1217" spans="1:8" x14ac:dyDescent="0.4">
      <c r="A1217" t="s">
        <v>23</v>
      </c>
      <c r="B1217">
        <v>2025</v>
      </c>
      <c r="C1217">
        <v>11</v>
      </c>
      <c r="D1217" t="s">
        <v>10</v>
      </c>
      <c r="E1217" t="s">
        <v>30</v>
      </c>
      <c r="F1217">
        <v>-13219</v>
      </c>
      <c r="G1217" s="3" t="s">
        <v>12</v>
      </c>
      <c r="H1217" t="str">
        <f>_xlfn.XLOOKUP(TRIM(D1217),對應!D:D,對應!E:E,"未對應")</f>
        <v>3通路方案</v>
      </c>
    </row>
    <row r="1218" spans="1:8" x14ac:dyDescent="0.4">
      <c r="A1218" t="s">
        <v>23</v>
      </c>
      <c r="B1218">
        <v>2025</v>
      </c>
      <c r="C1218">
        <v>11</v>
      </c>
      <c r="D1218" t="s">
        <v>10</v>
      </c>
      <c r="E1218" t="s">
        <v>20</v>
      </c>
      <c r="F1218">
        <v>737976</v>
      </c>
      <c r="G1218" s="3" t="s">
        <v>12</v>
      </c>
      <c r="H1218" t="str">
        <f>_xlfn.XLOOKUP(TRIM(D1218),對應!D:D,對應!E:E,"未對應")</f>
        <v>3通路方案</v>
      </c>
    </row>
    <row r="1219" spans="1:8" x14ac:dyDescent="0.4">
      <c r="A1219" t="s">
        <v>23</v>
      </c>
      <c r="B1219">
        <v>2025</v>
      </c>
      <c r="C1219">
        <v>11</v>
      </c>
      <c r="D1219" t="s">
        <v>10</v>
      </c>
      <c r="E1219" t="s">
        <v>16</v>
      </c>
      <c r="F1219">
        <v>2996203</v>
      </c>
      <c r="G1219" s="3" t="s">
        <v>16</v>
      </c>
      <c r="H1219" t="str">
        <f>_xlfn.XLOOKUP(TRIM(D1219),對應!D:D,對應!E:E,"未對應")</f>
        <v>3通路方案</v>
      </c>
    </row>
    <row r="1220" spans="1:8" x14ac:dyDescent="0.4">
      <c r="A1220" t="s">
        <v>23</v>
      </c>
      <c r="B1220">
        <v>2025</v>
      </c>
      <c r="C1220">
        <v>11</v>
      </c>
      <c r="D1220" t="s">
        <v>10</v>
      </c>
      <c r="E1220" t="s">
        <v>11</v>
      </c>
      <c r="F1220">
        <v>-498113</v>
      </c>
      <c r="G1220" s="3" t="s">
        <v>12</v>
      </c>
      <c r="H1220" t="str">
        <f>_xlfn.XLOOKUP(TRIM(D1220),對應!D:D,對應!E:E,"未對應")</f>
        <v>3通路方案</v>
      </c>
    </row>
    <row r="1221" spans="1:8" x14ac:dyDescent="0.4">
      <c r="A1221" t="s">
        <v>23</v>
      </c>
      <c r="B1221">
        <v>2025</v>
      </c>
      <c r="C1221">
        <v>11</v>
      </c>
      <c r="D1221" t="s">
        <v>10</v>
      </c>
      <c r="E1221" t="s">
        <v>26</v>
      </c>
      <c r="F1221">
        <v>-9525111</v>
      </c>
      <c r="G1221" s="3" t="s">
        <v>14</v>
      </c>
      <c r="H1221" t="str">
        <f>_xlfn.XLOOKUP(TRIM(D1221),對應!D:D,對應!E:E,"未對應")</f>
        <v>3通路方案</v>
      </c>
    </row>
    <row r="1222" spans="1:8" x14ac:dyDescent="0.4">
      <c r="A1222" t="s">
        <v>23</v>
      </c>
      <c r="B1222">
        <v>2025</v>
      </c>
      <c r="C1222">
        <v>11</v>
      </c>
      <c r="D1222" t="s">
        <v>10</v>
      </c>
      <c r="E1222" t="s">
        <v>21</v>
      </c>
      <c r="F1222">
        <v>-690907703</v>
      </c>
      <c r="G1222" s="3" t="s">
        <v>22</v>
      </c>
      <c r="H1222" t="str">
        <f>_xlfn.XLOOKUP(TRIM(D1222),對應!D:D,對應!E:E,"未對應")</f>
        <v>3通路方案</v>
      </c>
    </row>
    <row r="1223" spans="1:8" x14ac:dyDescent="0.4">
      <c r="A1223" t="s">
        <v>23</v>
      </c>
      <c r="B1223">
        <v>2025</v>
      </c>
      <c r="C1223">
        <v>11</v>
      </c>
      <c r="D1223" t="s">
        <v>10</v>
      </c>
      <c r="E1223" t="s">
        <v>16</v>
      </c>
      <c r="F1223">
        <v>-616633</v>
      </c>
      <c r="G1223" s="3" t="s">
        <v>16</v>
      </c>
      <c r="H1223" t="str">
        <f>_xlfn.XLOOKUP(TRIM(D1223),對應!D:D,對應!E:E,"未對應")</f>
        <v>3通路方案</v>
      </c>
    </row>
    <row r="1224" spans="1:8" x14ac:dyDescent="0.4">
      <c r="A1224" t="s">
        <v>23</v>
      </c>
      <c r="B1224">
        <v>2025</v>
      </c>
      <c r="C1224">
        <v>11</v>
      </c>
      <c r="D1224" t="s">
        <v>15</v>
      </c>
      <c r="E1224" t="s">
        <v>16</v>
      </c>
      <c r="F1224">
        <v>-8945969</v>
      </c>
      <c r="G1224" s="3" t="s">
        <v>16</v>
      </c>
      <c r="H1224" t="str">
        <f>_xlfn.XLOOKUP(TRIM(D1224),對應!D:D,對應!E:E,"未對應")</f>
        <v>7製造</v>
      </c>
    </row>
    <row r="1225" spans="1:8" x14ac:dyDescent="0.4">
      <c r="A1225" t="s">
        <v>23</v>
      </c>
      <c r="B1225">
        <v>2025</v>
      </c>
      <c r="C1225">
        <v>11</v>
      </c>
      <c r="D1225" t="s">
        <v>15</v>
      </c>
      <c r="E1225" t="s">
        <v>16</v>
      </c>
      <c r="F1225">
        <v>-557233</v>
      </c>
      <c r="G1225" s="3" t="s">
        <v>16</v>
      </c>
      <c r="H1225" t="str">
        <f>_xlfn.XLOOKUP(TRIM(D1225),對應!D:D,對應!E:E,"未對應")</f>
        <v>7製造</v>
      </c>
    </row>
    <row r="1226" spans="1:8" x14ac:dyDescent="0.4">
      <c r="A1226" t="s">
        <v>23</v>
      </c>
      <c r="B1226">
        <v>2025</v>
      </c>
      <c r="C1226">
        <v>11</v>
      </c>
      <c r="D1226" t="s">
        <v>10</v>
      </c>
      <c r="E1226" t="s">
        <v>16</v>
      </c>
      <c r="F1226">
        <v>-12502</v>
      </c>
      <c r="G1226" s="3" t="s">
        <v>16</v>
      </c>
      <c r="H1226" t="str">
        <f>_xlfn.XLOOKUP(TRIM(D1226),對應!D:D,對應!E:E,"未對應")</f>
        <v>3通路方案</v>
      </c>
    </row>
    <row r="1227" spans="1:8" x14ac:dyDescent="0.4">
      <c r="A1227" t="s">
        <v>23</v>
      </c>
      <c r="B1227">
        <v>2025</v>
      </c>
      <c r="C1227">
        <v>11</v>
      </c>
      <c r="D1227" t="s">
        <v>15</v>
      </c>
      <c r="E1227" t="s">
        <v>16</v>
      </c>
      <c r="F1227">
        <v>-58428266</v>
      </c>
      <c r="G1227" s="3" t="s">
        <v>16</v>
      </c>
      <c r="H1227" t="str">
        <f>_xlfn.XLOOKUP(TRIM(D1227),對應!D:D,對應!E:E,"未對應")</f>
        <v>7製造</v>
      </c>
    </row>
    <row r="1228" spans="1:8" x14ac:dyDescent="0.4">
      <c r="A1228" t="s">
        <v>23</v>
      </c>
      <c r="B1228">
        <v>2025</v>
      </c>
      <c r="C1228">
        <v>11</v>
      </c>
      <c r="D1228" t="s">
        <v>15</v>
      </c>
      <c r="E1228" t="s">
        <v>16</v>
      </c>
      <c r="F1228">
        <v>-470966</v>
      </c>
      <c r="G1228" s="3" t="s">
        <v>16</v>
      </c>
      <c r="H1228" t="str">
        <f>_xlfn.XLOOKUP(TRIM(D1228),對應!D:D,對應!E:E,"未對應")</f>
        <v>7製造</v>
      </c>
    </row>
    <row r="1229" spans="1:8" x14ac:dyDescent="0.4">
      <c r="A1229" t="s">
        <v>23</v>
      </c>
      <c r="B1229">
        <v>2025</v>
      </c>
      <c r="C1229">
        <v>11</v>
      </c>
      <c r="D1229" t="s">
        <v>17</v>
      </c>
      <c r="E1229" t="s">
        <v>18</v>
      </c>
      <c r="F1229">
        <v>-181249402</v>
      </c>
      <c r="G1229" s="3" t="s">
        <v>19</v>
      </c>
      <c r="H1229" t="str">
        <f>_xlfn.XLOOKUP(TRIM(D1229),對應!D:D,對應!E:E,"未對應")</f>
        <v>4筆電+盈嘉</v>
      </c>
    </row>
    <row r="1230" spans="1:8" x14ac:dyDescent="0.4">
      <c r="A1230" t="s">
        <v>23</v>
      </c>
      <c r="B1230">
        <v>2025</v>
      </c>
      <c r="C1230">
        <v>11</v>
      </c>
      <c r="D1230" t="s">
        <v>10</v>
      </c>
      <c r="E1230" t="s">
        <v>24</v>
      </c>
      <c r="F1230">
        <v>-378458692</v>
      </c>
      <c r="G1230" s="3" t="s">
        <v>14</v>
      </c>
      <c r="H1230" t="str">
        <f>_xlfn.XLOOKUP(TRIM(D1230),對應!D:D,對應!E:E,"未對應")</f>
        <v>3通路方案</v>
      </c>
    </row>
    <row r="1231" spans="1:8" x14ac:dyDescent="0.4">
      <c r="A1231" t="s">
        <v>23</v>
      </c>
      <c r="B1231">
        <v>2025</v>
      </c>
      <c r="C1231">
        <v>11</v>
      </c>
      <c r="D1231" t="s">
        <v>10</v>
      </c>
      <c r="E1231" t="s">
        <v>29</v>
      </c>
      <c r="F1231">
        <v>-36099704</v>
      </c>
      <c r="G1231" s="3" t="s">
        <v>12</v>
      </c>
      <c r="H1231" t="str">
        <f>_xlfn.XLOOKUP(TRIM(D1231),對應!D:D,對應!E:E,"未對應")</f>
        <v>3通路方案</v>
      </c>
    </row>
    <row r="1232" spans="1:8" x14ac:dyDescent="0.4">
      <c r="A1232" t="s">
        <v>23</v>
      </c>
      <c r="B1232">
        <v>2025</v>
      </c>
      <c r="C1232">
        <v>11</v>
      </c>
      <c r="D1232" t="s">
        <v>10</v>
      </c>
      <c r="E1232" t="s">
        <v>30</v>
      </c>
      <c r="F1232">
        <v>3013402</v>
      </c>
      <c r="G1232" s="3" t="s">
        <v>12</v>
      </c>
      <c r="H1232" t="str">
        <f>_xlfn.XLOOKUP(TRIM(D1232),對應!D:D,對應!E:E,"未對應")</f>
        <v>3通路方案</v>
      </c>
    </row>
    <row r="1233" spans="1:8" x14ac:dyDescent="0.4">
      <c r="A1233" t="s">
        <v>23</v>
      </c>
      <c r="B1233">
        <v>2025</v>
      </c>
      <c r="C1233">
        <v>11</v>
      </c>
      <c r="D1233" t="s">
        <v>10</v>
      </c>
      <c r="E1233" t="s">
        <v>20</v>
      </c>
      <c r="F1233">
        <v>-533031</v>
      </c>
      <c r="G1233" s="3" t="s">
        <v>12</v>
      </c>
      <c r="H1233" t="str">
        <f>_xlfn.XLOOKUP(TRIM(D1233),對應!D:D,對應!E:E,"未對應")</f>
        <v>3通路方案</v>
      </c>
    </row>
    <row r="1234" spans="1:8" x14ac:dyDescent="0.4">
      <c r="A1234" t="s">
        <v>23</v>
      </c>
      <c r="B1234">
        <v>2025</v>
      </c>
      <c r="C1234">
        <v>11</v>
      </c>
      <c r="D1234" t="s">
        <v>10</v>
      </c>
      <c r="E1234" t="s">
        <v>25</v>
      </c>
      <c r="F1234">
        <v>215243</v>
      </c>
      <c r="G1234" s="3" t="s">
        <v>14</v>
      </c>
      <c r="H1234" t="str">
        <f>_xlfn.XLOOKUP(TRIM(D1234),對應!D:D,對應!E:E,"未對應")</f>
        <v>3通路方案</v>
      </c>
    </row>
    <row r="1235" spans="1:8" x14ac:dyDescent="0.4">
      <c r="A1235" t="s">
        <v>23</v>
      </c>
      <c r="B1235">
        <v>2025</v>
      </c>
      <c r="C1235">
        <v>11</v>
      </c>
      <c r="D1235" t="s">
        <v>10</v>
      </c>
      <c r="E1235" t="s">
        <v>27</v>
      </c>
      <c r="F1235">
        <v>-12406219</v>
      </c>
      <c r="G1235" s="3" t="s">
        <v>28</v>
      </c>
      <c r="H1235" t="str">
        <f>_xlfn.XLOOKUP(TRIM(D1235),對應!D:D,對應!E:E,"未對應")</f>
        <v>3通路方案</v>
      </c>
    </row>
    <row r="1236" spans="1:8" x14ac:dyDescent="0.4">
      <c r="A1236" t="s">
        <v>23</v>
      </c>
      <c r="B1236">
        <v>2025</v>
      </c>
      <c r="C1236">
        <v>11</v>
      </c>
      <c r="D1236" t="s">
        <v>10</v>
      </c>
      <c r="E1236" t="s">
        <v>16</v>
      </c>
      <c r="F1236">
        <v>23070520</v>
      </c>
      <c r="G1236" s="3" t="s">
        <v>16</v>
      </c>
      <c r="H1236" t="str">
        <f>_xlfn.XLOOKUP(TRIM(D1236),對應!D:D,對應!E:E,"未對應")</f>
        <v>3通路方案</v>
      </c>
    </row>
    <row r="1237" spans="1:8" x14ac:dyDescent="0.4">
      <c r="A1237" t="s">
        <v>23</v>
      </c>
      <c r="B1237">
        <v>2025</v>
      </c>
      <c r="C1237">
        <v>11</v>
      </c>
      <c r="D1237" t="s">
        <v>10</v>
      </c>
      <c r="E1237" t="s">
        <v>38</v>
      </c>
      <c r="F1237">
        <v>1106964</v>
      </c>
      <c r="G1237" s="3" t="s">
        <v>12</v>
      </c>
      <c r="H1237" t="str">
        <f>_xlfn.XLOOKUP(TRIM(D1237),對應!D:D,對應!E:E,"未對應")</f>
        <v>3通路方案</v>
      </c>
    </row>
    <row r="1238" spans="1:8" x14ac:dyDescent="0.4">
      <c r="A1238" t="s">
        <v>23</v>
      </c>
      <c r="B1238">
        <v>2025</v>
      </c>
      <c r="C1238">
        <v>11</v>
      </c>
      <c r="D1238" t="s">
        <v>10</v>
      </c>
      <c r="E1238" t="s">
        <v>11</v>
      </c>
      <c r="F1238">
        <v>-577545</v>
      </c>
      <c r="G1238" s="3" t="s">
        <v>12</v>
      </c>
      <c r="H1238" t="str">
        <f>_xlfn.XLOOKUP(TRIM(D1238),對應!D:D,對應!E:E,"未對應")</f>
        <v>3通路方案</v>
      </c>
    </row>
    <row r="1239" spans="1:8" x14ac:dyDescent="0.4">
      <c r="A1239" t="s">
        <v>23</v>
      </c>
      <c r="B1239">
        <v>2025</v>
      </c>
      <c r="C1239">
        <v>11</v>
      </c>
      <c r="D1239" t="s">
        <v>10</v>
      </c>
      <c r="E1239" t="s">
        <v>13</v>
      </c>
      <c r="F1239">
        <v>30749</v>
      </c>
      <c r="G1239" s="3" t="s">
        <v>14</v>
      </c>
      <c r="H1239" t="str">
        <f>_xlfn.XLOOKUP(TRIM(D1239),對應!D:D,對應!E:E,"未對應")</f>
        <v>3通路方案</v>
      </c>
    </row>
    <row r="1240" spans="1:8" x14ac:dyDescent="0.4">
      <c r="A1240" t="s">
        <v>23</v>
      </c>
      <c r="B1240">
        <v>2025</v>
      </c>
      <c r="C1240">
        <v>11</v>
      </c>
      <c r="D1240" t="s">
        <v>10</v>
      </c>
      <c r="E1240" t="s">
        <v>26</v>
      </c>
      <c r="F1240">
        <v>-270006</v>
      </c>
      <c r="G1240" s="3" t="s">
        <v>14</v>
      </c>
      <c r="H1240" t="str">
        <f>_xlfn.XLOOKUP(TRIM(D1240),對應!D:D,對應!E:E,"未對應")</f>
        <v>3通路方案</v>
      </c>
    </row>
    <row r="1241" spans="1:8" x14ac:dyDescent="0.4">
      <c r="A1241" t="s">
        <v>23</v>
      </c>
      <c r="B1241">
        <v>2025</v>
      </c>
      <c r="C1241">
        <v>11</v>
      </c>
      <c r="D1241" t="s">
        <v>10</v>
      </c>
      <c r="E1241" t="s">
        <v>21</v>
      </c>
      <c r="F1241">
        <v>-1881266360</v>
      </c>
      <c r="G1241" s="3" t="s">
        <v>22</v>
      </c>
      <c r="H1241" t="str">
        <f>_xlfn.XLOOKUP(TRIM(D1241),對應!D:D,對應!E:E,"未對應")</f>
        <v>3通路方案</v>
      </c>
    </row>
    <row r="1242" spans="1:8" x14ac:dyDescent="0.4">
      <c r="A1242" t="s">
        <v>23</v>
      </c>
      <c r="B1242">
        <v>2025</v>
      </c>
      <c r="C1242">
        <v>11</v>
      </c>
      <c r="D1242" t="s">
        <v>8</v>
      </c>
      <c r="E1242" t="s">
        <v>33</v>
      </c>
      <c r="F1242">
        <v>-6115174</v>
      </c>
      <c r="G1242" s="3" t="s">
        <v>9</v>
      </c>
      <c r="H1242" t="str">
        <f>_xlfn.XLOOKUP(TRIM(D1242),對應!D:D,對應!E:E,"未對應")</f>
        <v>1網通+技鋼</v>
      </c>
    </row>
    <row r="1243" spans="1:8" x14ac:dyDescent="0.4">
      <c r="A1243" t="s">
        <v>36</v>
      </c>
      <c r="B1243">
        <v>2025</v>
      </c>
      <c r="C1243">
        <v>7</v>
      </c>
      <c r="D1243" t="s">
        <v>39</v>
      </c>
      <c r="E1243" t="s">
        <v>40</v>
      </c>
      <c r="F1243">
        <v>202559542</v>
      </c>
      <c r="G1243" s="3" t="s">
        <v>9</v>
      </c>
      <c r="H1243" t="str">
        <f>_xlfn.XLOOKUP(TRIM(D1243),對應!D:D,對應!E:E,"未對應")</f>
        <v>2技宸</v>
      </c>
    </row>
    <row r="1244" spans="1:8" x14ac:dyDescent="0.4">
      <c r="A1244" t="s">
        <v>36</v>
      </c>
      <c r="B1244">
        <v>2025</v>
      </c>
      <c r="C1244">
        <v>7</v>
      </c>
      <c r="D1244" t="s">
        <v>8</v>
      </c>
      <c r="E1244" t="s">
        <v>33</v>
      </c>
      <c r="F1244">
        <v>18375099944</v>
      </c>
      <c r="G1244" s="3" t="s">
        <v>9</v>
      </c>
      <c r="H1244" t="str">
        <f>_xlfn.XLOOKUP(TRIM(D1244),對應!D:D,對應!E:E,"未對應")</f>
        <v>1網通+技鋼</v>
      </c>
    </row>
    <row r="1245" spans="1:8" x14ac:dyDescent="0.4">
      <c r="A1245" t="s">
        <v>36</v>
      </c>
      <c r="B1245">
        <v>2025</v>
      </c>
      <c r="C1245">
        <v>7</v>
      </c>
      <c r="D1245" t="s">
        <v>17</v>
      </c>
      <c r="E1245" t="s">
        <v>18</v>
      </c>
      <c r="F1245">
        <v>49419949</v>
      </c>
      <c r="G1245" s="3" t="s">
        <v>19</v>
      </c>
      <c r="H1245" t="str">
        <f>_xlfn.XLOOKUP(TRIM(D1245),對應!D:D,對應!E:E,"未對應")</f>
        <v>4筆電+盈嘉</v>
      </c>
    </row>
    <row r="1246" spans="1:8" x14ac:dyDescent="0.4">
      <c r="A1246" t="s">
        <v>36</v>
      </c>
      <c r="B1246">
        <v>2025</v>
      </c>
      <c r="C1246">
        <v>7</v>
      </c>
      <c r="D1246" t="s">
        <v>15</v>
      </c>
      <c r="E1246" t="s">
        <v>16</v>
      </c>
      <c r="F1246">
        <v>2297053</v>
      </c>
      <c r="G1246" s="3" t="s">
        <v>16</v>
      </c>
      <c r="H1246" t="str">
        <f>_xlfn.XLOOKUP(TRIM(D1246),對應!D:D,對應!E:E,"未對應")</f>
        <v>7製造</v>
      </c>
    </row>
    <row r="1247" spans="1:8" x14ac:dyDescent="0.4">
      <c r="A1247" t="s">
        <v>36</v>
      </c>
      <c r="B1247">
        <v>2025</v>
      </c>
      <c r="C1247">
        <v>7</v>
      </c>
      <c r="D1247" t="s">
        <v>37</v>
      </c>
      <c r="E1247" t="s">
        <v>16</v>
      </c>
      <c r="F1247">
        <v>20087959</v>
      </c>
      <c r="G1247" s="3" t="s">
        <v>37</v>
      </c>
      <c r="H1247" t="str">
        <f>_xlfn.XLOOKUP(TRIM(D1247),對應!D:D,對應!E:E,"未對應")</f>
        <v>6雲城</v>
      </c>
    </row>
    <row r="1248" spans="1:8" x14ac:dyDescent="0.4">
      <c r="A1248" t="s">
        <v>41</v>
      </c>
      <c r="B1248">
        <v>2025</v>
      </c>
      <c r="C1248">
        <v>7</v>
      </c>
      <c r="D1248" t="s">
        <v>32</v>
      </c>
      <c r="E1248" t="s">
        <v>16</v>
      </c>
      <c r="F1248">
        <v>-59956625</v>
      </c>
      <c r="G1248" s="3" t="s">
        <v>32</v>
      </c>
      <c r="H1248" t="str">
        <f>_xlfn.XLOOKUP(TRIM(D1248),對應!D:D,對應!E:E,"未對應")</f>
        <v>5百事益</v>
      </c>
    </row>
    <row r="1249" spans="1:8" x14ac:dyDescent="0.4">
      <c r="A1249" t="s">
        <v>41</v>
      </c>
      <c r="B1249">
        <v>2025</v>
      </c>
      <c r="C1249">
        <v>7</v>
      </c>
      <c r="D1249" t="s">
        <v>32</v>
      </c>
      <c r="E1249" t="s">
        <v>16</v>
      </c>
      <c r="F1249">
        <v>-175404</v>
      </c>
      <c r="G1249" s="3" t="s">
        <v>32</v>
      </c>
      <c r="H1249" t="str">
        <f>_xlfn.XLOOKUP(TRIM(D1249),對應!D:D,對應!E:E,"未對應")</f>
        <v>5百事益</v>
      </c>
    </row>
    <row r="1250" spans="1:8" x14ac:dyDescent="0.4">
      <c r="A1250" t="s">
        <v>41</v>
      </c>
      <c r="B1250">
        <v>2025</v>
      </c>
      <c r="C1250">
        <v>7</v>
      </c>
      <c r="D1250" t="s">
        <v>32</v>
      </c>
      <c r="E1250" t="s">
        <v>16</v>
      </c>
      <c r="F1250">
        <v>-13594672</v>
      </c>
      <c r="G1250" s="3" t="s">
        <v>32</v>
      </c>
      <c r="H1250" t="str">
        <f>_xlfn.XLOOKUP(TRIM(D1250),對應!D:D,對應!E:E,"未對應")</f>
        <v>5百事益</v>
      </c>
    </row>
    <row r="1251" spans="1:8" x14ac:dyDescent="0.4">
      <c r="A1251" t="s">
        <v>41</v>
      </c>
      <c r="B1251">
        <v>2025</v>
      </c>
      <c r="C1251">
        <v>7</v>
      </c>
      <c r="D1251" t="s">
        <v>32</v>
      </c>
      <c r="E1251" t="s">
        <v>16</v>
      </c>
      <c r="F1251">
        <v>-105381</v>
      </c>
      <c r="G1251" s="3" t="s">
        <v>32</v>
      </c>
      <c r="H1251" t="str">
        <f>_xlfn.XLOOKUP(TRIM(D1251),對應!D:D,對應!E:E,"未對應")</f>
        <v>5百事益</v>
      </c>
    </row>
    <row r="1252" spans="1:8" x14ac:dyDescent="0.4">
      <c r="A1252" t="s">
        <v>41</v>
      </c>
      <c r="B1252">
        <v>2025</v>
      </c>
      <c r="C1252">
        <v>7</v>
      </c>
      <c r="D1252" t="s">
        <v>39</v>
      </c>
      <c r="E1252" t="s">
        <v>40</v>
      </c>
      <c r="F1252">
        <v>-944265</v>
      </c>
      <c r="G1252" s="3" t="s">
        <v>42</v>
      </c>
      <c r="H1252" t="str">
        <f>_xlfn.XLOOKUP(TRIM(D1252),對應!D:D,對應!E:E,"未對應")</f>
        <v>2技宸</v>
      </c>
    </row>
    <row r="1253" spans="1:8" x14ac:dyDescent="0.4">
      <c r="A1253" t="s">
        <v>41</v>
      </c>
      <c r="B1253">
        <v>2025</v>
      </c>
      <c r="C1253">
        <v>7</v>
      </c>
      <c r="D1253" t="s">
        <v>39</v>
      </c>
      <c r="E1253" t="s">
        <v>40</v>
      </c>
      <c r="F1253">
        <v>-94161</v>
      </c>
      <c r="G1253" s="3" t="s">
        <v>42</v>
      </c>
      <c r="H1253" t="str">
        <f>_xlfn.XLOOKUP(TRIM(D1253),對應!D:D,對應!E:E,"未對應")</f>
        <v>2技宸</v>
      </c>
    </row>
    <row r="1254" spans="1:8" x14ac:dyDescent="0.4">
      <c r="A1254" t="s">
        <v>41</v>
      </c>
      <c r="B1254">
        <v>2025</v>
      </c>
      <c r="C1254">
        <v>7</v>
      </c>
      <c r="D1254" t="s">
        <v>39</v>
      </c>
      <c r="E1254" t="s">
        <v>40</v>
      </c>
      <c r="F1254">
        <v>-10521271</v>
      </c>
      <c r="G1254" s="3" t="s">
        <v>42</v>
      </c>
      <c r="H1254" t="str">
        <f>_xlfn.XLOOKUP(TRIM(D1254),對應!D:D,對應!E:E,"未對應")</f>
        <v>2技宸</v>
      </c>
    </row>
    <row r="1255" spans="1:8" x14ac:dyDescent="0.4">
      <c r="A1255" t="s">
        <v>41</v>
      </c>
      <c r="B1255">
        <v>2025</v>
      </c>
      <c r="C1255">
        <v>7</v>
      </c>
      <c r="D1255" t="s">
        <v>39</v>
      </c>
      <c r="E1255" t="s">
        <v>40</v>
      </c>
      <c r="F1255">
        <v>-44276</v>
      </c>
      <c r="G1255" s="3" t="s">
        <v>42</v>
      </c>
      <c r="H1255" t="str">
        <f>_xlfn.XLOOKUP(TRIM(D1255),對應!D:D,對應!E:E,"未對應")</f>
        <v>2技宸</v>
      </c>
    </row>
    <row r="1256" spans="1:8" x14ac:dyDescent="0.4">
      <c r="A1256" t="s">
        <v>41</v>
      </c>
      <c r="B1256">
        <v>2025</v>
      </c>
      <c r="C1256">
        <v>7</v>
      </c>
      <c r="D1256" t="s">
        <v>39</v>
      </c>
      <c r="E1256" t="s">
        <v>40</v>
      </c>
      <c r="F1256">
        <v>-211200</v>
      </c>
      <c r="G1256" s="3" t="s">
        <v>42</v>
      </c>
      <c r="H1256" t="str">
        <f>_xlfn.XLOOKUP(TRIM(D1256),對應!D:D,對應!E:E,"未對應")</f>
        <v>2技宸</v>
      </c>
    </row>
    <row r="1257" spans="1:8" x14ac:dyDescent="0.4">
      <c r="A1257" t="s">
        <v>41</v>
      </c>
      <c r="B1257">
        <v>2025</v>
      </c>
      <c r="C1257">
        <v>7</v>
      </c>
      <c r="D1257" t="s">
        <v>8</v>
      </c>
      <c r="E1257" t="s">
        <v>33</v>
      </c>
      <c r="F1257">
        <v>-5415918</v>
      </c>
      <c r="G1257" s="3" t="s">
        <v>9</v>
      </c>
      <c r="H1257" t="str">
        <f>_xlfn.XLOOKUP(TRIM(D1257),對應!D:D,對應!E:E,"未對應")</f>
        <v>1網通+技鋼</v>
      </c>
    </row>
    <row r="1258" spans="1:8" x14ac:dyDescent="0.4">
      <c r="A1258" t="s">
        <v>41</v>
      </c>
      <c r="B1258">
        <v>2025</v>
      </c>
      <c r="C1258">
        <v>7</v>
      </c>
      <c r="D1258" t="s">
        <v>8</v>
      </c>
      <c r="E1258" t="s">
        <v>33</v>
      </c>
      <c r="F1258">
        <v>-27684856</v>
      </c>
      <c r="G1258" s="3" t="s">
        <v>9</v>
      </c>
      <c r="H1258" t="str">
        <f>_xlfn.XLOOKUP(TRIM(D1258),對應!D:D,對應!E:E,"未對應")</f>
        <v>1網通+技鋼</v>
      </c>
    </row>
    <row r="1259" spans="1:8" x14ac:dyDescent="0.4">
      <c r="A1259" t="s">
        <v>41</v>
      </c>
      <c r="B1259">
        <v>2025</v>
      </c>
      <c r="C1259">
        <v>7</v>
      </c>
      <c r="D1259" t="s">
        <v>8</v>
      </c>
      <c r="E1259" t="s">
        <v>33</v>
      </c>
      <c r="F1259">
        <v>-154125564</v>
      </c>
      <c r="G1259" s="3" t="s">
        <v>9</v>
      </c>
      <c r="H1259" t="str">
        <f>_xlfn.XLOOKUP(TRIM(D1259),對應!D:D,對應!E:E,"未對應")</f>
        <v>1網通+技鋼</v>
      </c>
    </row>
    <row r="1260" spans="1:8" x14ac:dyDescent="0.4">
      <c r="A1260" t="s">
        <v>41</v>
      </c>
      <c r="B1260">
        <v>2025</v>
      </c>
      <c r="C1260">
        <v>7</v>
      </c>
      <c r="D1260" t="s">
        <v>8</v>
      </c>
      <c r="E1260" t="s">
        <v>33</v>
      </c>
      <c r="F1260">
        <v>-694280814</v>
      </c>
      <c r="G1260" s="3" t="s">
        <v>9</v>
      </c>
      <c r="H1260" t="str">
        <f>_xlfn.XLOOKUP(TRIM(D1260),對應!D:D,對應!E:E,"未對應")</f>
        <v>1網通+技鋼</v>
      </c>
    </row>
    <row r="1261" spans="1:8" x14ac:dyDescent="0.4">
      <c r="A1261" t="s">
        <v>41</v>
      </c>
      <c r="B1261">
        <v>2025</v>
      </c>
      <c r="C1261">
        <v>7</v>
      </c>
      <c r="D1261" t="s">
        <v>8</v>
      </c>
      <c r="E1261" t="s">
        <v>33</v>
      </c>
      <c r="F1261">
        <v>-63862</v>
      </c>
      <c r="G1261" s="3" t="s">
        <v>9</v>
      </c>
      <c r="H1261" t="str">
        <f>_xlfn.XLOOKUP(TRIM(D1261),對應!D:D,對應!E:E,"未對應")</f>
        <v>1網通+技鋼</v>
      </c>
    </row>
    <row r="1262" spans="1:8" x14ac:dyDescent="0.4">
      <c r="A1262" t="s">
        <v>41</v>
      </c>
      <c r="B1262">
        <v>2025</v>
      </c>
      <c r="C1262">
        <v>7</v>
      </c>
      <c r="D1262" t="s">
        <v>17</v>
      </c>
      <c r="E1262" t="s">
        <v>18</v>
      </c>
      <c r="F1262">
        <v>-32293287</v>
      </c>
      <c r="G1262" s="3" t="s">
        <v>19</v>
      </c>
      <c r="H1262" t="str">
        <f>_xlfn.XLOOKUP(TRIM(D1262),對應!D:D,對應!E:E,"未對應")</f>
        <v>4筆電+盈嘉</v>
      </c>
    </row>
    <row r="1263" spans="1:8" x14ac:dyDescent="0.4">
      <c r="A1263" t="s">
        <v>41</v>
      </c>
      <c r="B1263">
        <v>2025</v>
      </c>
      <c r="C1263">
        <v>7</v>
      </c>
      <c r="D1263" t="s">
        <v>37</v>
      </c>
      <c r="E1263" t="s">
        <v>16</v>
      </c>
      <c r="F1263">
        <v>-242728</v>
      </c>
      <c r="G1263" s="3" t="s">
        <v>37</v>
      </c>
      <c r="H1263" t="str">
        <f>_xlfn.XLOOKUP(TRIM(D1263),對應!D:D,對應!E:E,"未對應")</f>
        <v>6雲城</v>
      </c>
    </row>
    <row r="1264" spans="1:8" x14ac:dyDescent="0.4">
      <c r="A1264" t="s">
        <v>41</v>
      </c>
      <c r="B1264">
        <v>2025</v>
      </c>
      <c r="C1264">
        <v>7</v>
      </c>
      <c r="D1264" t="s">
        <v>37</v>
      </c>
      <c r="E1264" t="s">
        <v>16</v>
      </c>
      <c r="F1264">
        <v>-37620</v>
      </c>
      <c r="G1264" s="3" t="s">
        <v>37</v>
      </c>
      <c r="H1264" t="str">
        <f>_xlfn.XLOOKUP(TRIM(D1264),對應!D:D,對應!E:E,"未對應")</f>
        <v>6雲城</v>
      </c>
    </row>
    <row r="1265" spans="1:8" x14ac:dyDescent="0.4">
      <c r="A1265" t="s">
        <v>41</v>
      </c>
      <c r="B1265">
        <v>2025</v>
      </c>
      <c r="C1265">
        <v>7</v>
      </c>
      <c r="D1265" t="s">
        <v>37</v>
      </c>
      <c r="E1265" t="s">
        <v>16</v>
      </c>
      <c r="F1265">
        <v>-1500</v>
      </c>
      <c r="G1265" s="3" t="s">
        <v>37</v>
      </c>
      <c r="H1265" t="str">
        <f>_xlfn.XLOOKUP(TRIM(D1265),對應!D:D,對應!E:E,"未對應")</f>
        <v>6雲城</v>
      </c>
    </row>
    <row r="1266" spans="1:8" x14ac:dyDescent="0.4">
      <c r="A1266" t="s">
        <v>45</v>
      </c>
      <c r="B1266">
        <v>2025</v>
      </c>
      <c r="C1266">
        <v>7</v>
      </c>
      <c r="D1266" t="s">
        <v>15</v>
      </c>
      <c r="E1266" t="s">
        <v>16</v>
      </c>
      <c r="F1266">
        <v>1343018</v>
      </c>
      <c r="G1266" s="3" t="s">
        <v>16</v>
      </c>
      <c r="H1266" t="str">
        <f>_xlfn.XLOOKUP(TRIM(D1266),對應!D:D,對應!E:E,"未對應")</f>
        <v>7製造</v>
      </c>
    </row>
    <row r="1267" spans="1:8" x14ac:dyDescent="0.4">
      <c r="A1267" t="s">
        <v>43</v>
      </c>
      <c r="B1267">
        <v>2025</v>
      </c>
      <c r="C1267">
        <v>7</v>
      </c>
      <c r="D1267" t="s">
        <v>32</v>
      </c>
      <c r="E1267" t="s">
        <v>16</v>
      </c>
      <c r="F1267">
        <v>6973512</v>
      </c>
      <c r="G1267" s="3" t="s">
        <v>32</v>
      </c>
      <c r="H1267" t="str">
        <f>_xlfn.XLOOKUP(TRIM(D1267),對應!D:D,對應!E:E,"未對應")</f>
        <v>5百事益</v>
      </c>
    </row>
    <row r="1268" spans="1:8" x14ac:dyDescent="0.4">
      <c r="A1268" t="s">
        <v>43</v>
      </c>
      <c r="B1268">
        <v>2025</v>
      </c>
      <c r="C1268">
        <v>7</v>
      </c>
      <c r="D1268" t="s">
        <v>32</v>
      </c>
      <c r="E1268" t="s">
        <v>16</v>
      </c>
      <c r="F1268">
        <v>117855</v>
      </c>
      <c r="G1268" s="3" t="s">
        <v>32</v>
      </c>
      <c r="H1268" t="str">
        <f>_xlfn.XLOOKUP(TRIM(D1268),對應!D:D,對應!E:E,"未對應")</f>
        <v>5百事益</v>
      </c>
    </row>
    <row r="1269" spans="1:8" x14ac:dyDescent="0.4">
      <c r="A1269" t="s">
        <v>43</v>
      </c>
      <c r="B1269">
        <v>2025</v>
      </c>
      <c r="C1269">
        <v>7</v>
      </c>
      <c r="D1269" t="s">
        <v>10</v>
      </c>
      <c r="E1269" t="s">
        <v>24</v>
      </c>
      <c r="F1269">
        <v>649775484</v>
      </c>
      <c r="G1269" s="3" t="s">
        <v>14</v>
      </c>
      <c r="H1269" t="str">
        <f>_xlfn.XLOOKUP(TRIM(D1269),對應!D:D,對應!E:E,"未對應")</f>
        <v>3通路方案</v>
      </c>
    </row>
    <row r="1270" spans="1:8" x14ac:dyDescent="0.4">
      <c r="A1270" t="s">
        <v>43</v>
      </c>
      <c r="B1270">
        <v>2025</v>
      </c>
      <c r="C1270">
        <v>7</v>
      </c>
      <c r="D1270" t="s">
        <v>10</v>
      </c>
      <c r="E1270" t="s">
        <v>25</v>
      </c>
      <c r="F1270">
        <v>25097</v>
      </c>
      <c r="G1270" s="3" t="s">
        <v>14</v>
      </c>
      <c r="H1270" t="str">
        <f>_xlfn.XLOOKUP(TRIM(D1270),對應!D:D,對應!E:E,"未對應")</f>
        <v>3通路方案</v>
      </c>
    </row>
    <row r="1271" spans="1:8" x14ac:dyDescent="0.4">
      <c r="A1271" t="s">
        <v>43</v>
      </c>
      <c r="B1271">
        <v>2025</v>
      </c>
      <c r="C1271">
        <v>7</v>
      </c>
      <c r="D1271" t="s">
        <v>10</v>
      </c>
      <c r="E1271" t="s">
        <v>27</v>
      </c>
      <c r="F1271">
        <v>25598816</v>
      </c>
      <c r="G1271" s="3" t="s">
        <v>28</v>
      </c>
      <c r="H1271" t="str">
        <f>_xlfn.XLOOKUP(TRIM(D1271),對應!D:D,對應!E:E,"未對應")</f>
        <v>3通路方案</v>
      </c>
    </row>
    <row r="1272" spans="1:8" x14ac:dyDescent="0.4">
      <c r="A1272" t="s">
        <v>43</v>
      </c>
      <c r="B1272">
        <v>2025</v>
      </c>
      <c r="C1272">
        <v>7</v>
      </c>
      <c r="D1272" t="s">
        <v>10</v>
      </c>
      <c r="E1272" t="s">
        <v>21</v>
      </c>
      <c r="F1272">
        <v>1477156442</v>
      </c>
      <c r="G1272" s="3" t="s">
        <v>22</v>
      </c>
      <c r="H1272" t="str">
        <f>_xlfn.XLOOKUP(TRIM(D1272),對應!D:D,對應!E:E,"未對應")</f>
        <v>3通路方案</v>
      </c>
    </row>
    <row r="1273" spans="1:8" x14ac:dyDescent="0.4">
      <c r="A1273" t="s">
        <v>43</v>
      </c>
      <c r="B1273">
        <v>2025</v>
      </c>
      <c r="C1273">
        <v>7</v>
      </c>
      <c r="D1273" t="s">
        <v>8</v>
      </c>
      <c r="E1273" t="s">
        <v>33</v>
      </c>
      <c r="F1273">
        <v>29489793</v>
      </c>
      <c r="G1273" s="3" t="s">
        <v>9</v>
      </c>
      <c r="H1273" t="str">
        <f>_xlfn.XLOOKUP(TRIM(D1273),對應!D:D,對應!E:E,"未對應")</f>
        <v>1網通+技鋼</v>
      </c>
    </row>
    <row r="1274" spans="1:8" x14ac:dyDescent="0.4">
      <c r="A1274" t="s">
        <v>43</v>
      </c>
      <c r="B1274">
        <v>2025</v>
      </c>
      <c r="C1274">
        <v>7</v>
      </c>
      <c r="D1274" t="s">
        <v>32</v>
      </c>
      <c r="E1274" t="s">
        <v>16</v>
      </c>
      <c r="F1274">
        <v>4682744</v>
      </c>
      <c r="G1274" s="3" t="s">
        <v>32</v>
      </c>
      <c r="H1274" t="str">
        <f>_xlfn.XLOOKUP(TRIM(D1274),對應!D:D,對應!E:E,"未對應")</f>
        <v>5百事益</v>
      </c>
    </row>
    <row r="1275" spans="1:8" x14ac:dyDescent="0.4">
      <c r="A1275" t="s">
        <v>43</v>
      </c>
      <c r="B1275">
        <v>2025</v>
      </c>
      <c r="C1275">
        <v>7</v>
      </c>
      <c r="D1275" t="s">
        <v>10</v>
      </c>
      <c r="E1275" t="s">
        <v>16</v>
      </c>
      <c r="F1275">
        <v>3372012</v>
      </c>
      <c r="G1275" s="3" t="s">
        <v>16</v>
      </c>
      <c r="H1275" t="str">
        <f>_xlfn.XLOOKUP(TRIM(D1275),對應!D:D,對應!E:E,"未對應")</f>
        <v>3通路方案</v>
      </c>
    </row>
    <row r="1276" spans="1:8" x14ac:dyDescent="0.4">
      <c r="A1276" t="s">
        <v>43</v>
      </c>
      <c r="B1276">
        <v>2025</v>
      </c>
      <c r="C1276">
        <v>7</v>
      </c>
      <c r="D1276" t="s">
        <v>32</v>
      </c>
      <c r="E1276" t="s">
        <v>16</v>
      </c>
      <c r="F1276">
        <v>8924823</v>
      </c>
      <c r="G1276" s="3" t="s">
        <v>32</v>
      </c>
      <c r="H1276" t="str">
        <f>_xlfn.XLOOKUP(TRIM(D1276),對應!D:D,對應!E:E,"未對應")</f>
        <v>5百事益</v>
      </c>
    </row>
    <row r="1277" spans="1:8" x14ac:dyDescent="0.4">
      <c r="A1277" t="s">
        <v>43</v>
      </c>
      <c r="B1277">
        <v>2025</v>
      </c>
      <c r="C1277">
        <v>7</v>
      </c>
      <c r="D1277" t="s">
        <v>17</v>
      </c>
      <c r="E1277" t="s">
        <v>18</v>
      </c>
      <c r="F1277">
        <v>87084751</v>
      </c>
      <c r="G1277" s="3" t="s">
        <v>19</v>
      </c>
      <c r="H1277" t="str">
        <f>_xlfn.XLOOKUP(TRIM(D1277),對應!D:D,對應!E:E,"未對應")</f>
        <v>4筆電+盈嘉</v>
      </c>
    </row>
    <row r="1278" spans="1:8" x14ac:dyDescent="0.4">
      <c r="A1278" t="s">
        <v>43</v>
      </c>
      <c r="B1278">
        <v>2025</v>
      </c>
      <c r="C1278">
        <v>7</v>
      </c>
      <c r="D1278" t="s">
        <v>10</v>
      </c>
      <c r="E1278" t="s">
        <v>24</v>
      </c>
      <c r="F1278">
        <v>317653139</v>
      </c>
      <c r="G1278" s="3" t="s">
        <v>14</v>
      </c>
      <c r="H1278" t="str">
        <f>_xlfn.XLOOKUP(TRIM(D1278),對應!D:D,對應!E:E,"未對應")</f>
        <v>3通路方案</v>
      </c>
    </row>
    <row r="1279" spans="1:8" x14ac:dyDescent="0.4">
      <c r="A1279" t="s">
        <v>43</v>
      </c>
      <c r="B1279">
        <v>2025</v>
      </c>
      <c r="C1279">
        <v>7</v>
      </c>
      <c r="D1279" t="s">
        <v>10</v>
      </c>
      <c r="E1279" t="s">
        <v>30</v>
      </c>
      <c r="F1279">
        <v>287313</v>
      </c>
      <c r="G1279" s="3" t="s">
        <v>12</v>
      </c>
      <c r="H1279" t="str">
        <f>_xlfn.XLOOKUP(TRIM(D1279),對應!D:D,對應!E:E,"未對應")</f>
        <v>3通路方案</v>
      </c>
    </row>
    <row r="1280" spans="1:8" x14ac:dyDescent="0.4">
      <c r="A1280" t="s">
        <v>43</v>
      </c>
      <c r="B1280">
        <v>2025</v>
      </c>
      <c r="C1280">
        <v>7</v>
      </c>
      <c r="D1280" t="s">
        <v>10</v>
      </c>
      <c r="E1280" t="s">
        <v>27</v>
      </c>
      <c r="F1280">
        <v>27555047</v>
      </c>
      <c r="G1280" s="3" t="s">
        <v>28</v>
      </c>
      <c r="H1280" t="str">
        <f>_xlfn.XLOOKUP(TRIM(D1280),對應!D:D,對應!E:E,"未對應")</f>
        <v>3通路方案</v>
      </c>
    </row>
    <row r="1281" spans="1:8" x14ac:dyDescent="0.4">
      <c r="A1281" t="s">
        <v>43</v>
      </c>
      <c r="B1281">
        <v>2025</v>
      </c>
      <c r="C1281">
        <v>7</v>
      </c>
      <c r="D1281" t="s">
        <v>10</v>
      </c>
      <c r="E1281" t="s">
        <v>11</v>
      </c>
      <c r="F1281">
        <v>10941446</v>
      </c>
      <c r="G1281" s="3" t="s">
        <v>12</v>
      </c>
      <c r="H1281" t="str">
        <f>_xlfn.XLOOKUP(TRIM(D1281),對應!D:D,對應!E:E,"未對應")</f>
        <v>3通路方案</v>
      </c>
    </row>
    <row r="1282" spans="1:8" x14ac:dyDescent="0.4">
      <c r="A1282" t="s">
        <v>43</v>
      </c>
      <c r="B1282">
        <v>2025</v>
      </c>
      <c r="C1282">
        <v>7</v>
      </c>
      <c r="D1282" t="s">
        <v>10</v>
      </c>
      <c r="E1282" t="s">
        <v>26</v>
      </c>
      <c r="F1282">
        <v>310941</v>
      </c>
      <c r="G1282" s="3" t="s">
        <v>14</v>
      </c>
      <c r="H1282" t="str">
        <f>_xlfn.XLOOKUP(TRIM(D1282),對應!D:D,對應!E:E,"未對應")</f>
        <v>3通路方案</v>
      </c>
    </row>
    <row r="1283" spans="1:8" x14ac:dyDescent="0.4">
      <c r="A1283" t="s">
        <v>43</v>
      </c>
      <c r="B1283">
        <v>2025</v>
      </c>
      <c r="C1283">
        <v>7</v>
      </c>
      <c r="D1283" t="s">
        <v>10</v>
      </c>
      <c r="E1283" t="s">
        <v>21</v>
      </c>
      <c r="F1283">
        <v>1560006358</v>
      </c>
      <c r="G1283" s="3" t="s">
        <v>22</v>
      </c>
      <c r="H1283" t="str">
        <f>_xlfn.XLOOKUP(TRIM(D1283),對應!D:D,對應!E:E,"未對應")</f>
        <v>3通路方案</v>
      </c>
    </row>
    <row r="1284" spans="1:8" x14ac:dyDescent="0.4">
      <c r="A1284" t="s">
        <v>43</v>
      </c>
      <c r="B1284">
        <v>2025</v>
      </c>
      <c r="C1284">
        <v>7</v>
      </c>
      <c r="D1284" t="s">
        <v>10</v>
      </c>
      <c r="E1284" t="s">
        <v>16</v>
      </c>
      <c r="F1284">
        <v>3124586</v>
      </c>
      <c r="G1284" s="3" t="s">
        <v>16</v>
      </c>
      <c r="H1284" t="str">
        <f>_xlfn.XLOOKUP(TRIM(D1284),對應!D:D,對應!E:E,"未對應")</f>
        <v>3通路方案</v>
      </c>
    </row>
    <row r="1285" spans="1:8" x14ac:dyDescent="0.4">
      <c r="A1285" t="s">
        <v>43</v>
      </c>
      <c r="B1285">
        <v>2025</v>
      </c>
      <c r="C1285">
        <v>7</v>
      </c>
      <c r="D1285" t="s">
        <v>8</v>
      </c>
      <c r="E1285" t="s">
        <v>33</v>
      </c>
      <c r="F1285">
        <v>10107224</v>
      </c>
      <c r="G1285" s="3" t="s">
        <v>9</v>
      </c>
      <c r="H1285" t="str">
        <f>_xlfn.XLOOKUP(TRIM(D1285),對應!D:D,對應!E:E,"未對應")</f>
        <v>1網通+技鋼</v>
      </c>
    </row>
    <row r="1286" spans="1:8" x14ac:dyDescent="0.4">
      <c r="A1286" t="s">
        <v>43</v>
      </c>
      <c r="B1286">
        <v>2025</v>
      </c>
      <c r="C1286">
        <v>7</v>
      </c>
      <c r="D1286" t="s">
        <v>8</v>
      </c>
      <c r="E1286" t="s">
        <v>33</v>
      </c>
      <c r="F1286">
        <v>-18548</v>
      </c>
      <c r="G1286" s="3" t="s">
        <v>9</v>
      </c>
      <c r="H1286" t="str">
        <f>_xlfn.XLOOKUP(TRIM(D1286),對應!D:D,對應!E:E,"未對應")</f>
        <v>1網通+技鋼</v>
      </c>
    </row>
    <row r="1287" spans="1:8" x14ac:dyDescent="0.4">
      <c r="A1287" t="s">
        <v>43</v>
      </c>
      <c r="B1287">
        <v>2025</v>
      </c>
      <c r="C1287">
        <v>7</v>
      </c>
      <c r="D1287" t="s">
        <v>8</v>
      </c>
      <c r="E1287" t="s">
        <v>33</v>
      </c>
      <c r="F1287">
        <v>454464985</v>
      </c>
      <c r="G1287" s="3" t="s">
        <v>9</v>
      </c>
      <c r="H1287" t="str">
        <f>_xlfn.XLOOKUP(TRIM(D1287),對應!D:D,對應!E:E,"未對應")</f>
        <v>1網通+技鋼</v>
      </c>
    </row>
    <row r="1288" spans="1:8" x14ac:dyDescent="0.4">
      <c r="A1288" t="s">
        <v>43</v>
      </c>
      <c r="B1288">
        <v>2025</v>
      </c>
      <c r="C1288">
        <v>7</v>
      </c>
      <c r="D1288" t="s">
        <v>10</v>
      </c>
      <c r="E1288" t="s">
        <v>26</v>
      </c>
      <c r="F1288">
        <v>4419067</v>
      </c>
      <c r="G1288" s="3" t="s">
        <v>14</v>
      </c>
      <c r="H1288" t="str">
        <f>_xlfn.XLOOKUP(TRIM(D1288),對應!D:D,對應!E:E,"未對應")</f>
        <v>3通路方案</v>
      </c>
    </row>
    <row r="1289" spans="1:8" x14ac:dyDescent="0.4">
      <c r="A1289" t="s">
        <v>43</v>
      </c>
      <c r="B1289">
        <v>2025</v>
      </c>
      <c r="C1289">
        <v>7</v>
      </c>
      <c r="D1289" t="s">
        <v>32</v>
      </c>
      <c r="E1289" t="s">
        <v>16</v>
      </c>
      <c r="F1289">
        <v>4355171</v>
      </c>
      <c r="G1289" s="3" t="s">
        <v>32</v>
      </c>
      <c r="H1289" t="str">
        <f>_xlfn.XLOOKUP(TRIM(D1289),對應!D:D,對應!E:E,"未對應")</f>
        <v>5百事益</v>
      </c>
    </row>
    <row r="1290" spans="1:8" x14ac:dyDescent="0.4">
      <c r="A1290" t="s">
        <v>43</v>
      </c>
      <c r="B1290">
        <v>2025</v>
      </c>
      <c r="C1290">
        <v>7</v>
      </c>
      <c r="D1290" t="s">
        <v>17</v>
      </c>
      <c r="E1290" t="s">
        <v>18</v>
      </c>
      <c r="F1290">
        <v>6756469</v>
      </c>
      <c r="G1290" s="3" t="s">
        <v>19</v>
      </c>
      <c r="H1290" t="str">
        <f>_xlfn.XLOOKUP(TRIM(D1290),對應!D:D,對應!E:E,"未對應")</f>
        <v>4筆電+盈嘉</v>
      </c>
    </row>
    <row r="1291" spans="1:8" x14ac:dyDescent="0.4">
      <c r="A1291" t="s">
        <v>43</v>
      </c>
      <c r="B1291">
        <v>2025</v>
      </c>
      <c r="C1291">
        <v>7</v>
      </c>
      <c r="D1291" t="s">
        <v>10</v>
      </c>
      <c r="E1291" t="s">
        <v>24</v>
      </c>
      <c r="F1291">
        <v>19135467</v>
      </c>
      <c r="G1291" s="3" t="s">
        <v>14</v>
      </c>
      <c r="H1291" t="str">
        <f>_xlfn.XLOOKUP(TRIM(D1291),對應!D:D,對應!E:E,"未對應")</f>
        <v>3通路方案</v>
      </c>
    </row>
    <row r="1292" spans="1:8" x14ac:dyDescent="0.4">
      <c r="A1292" t="s">
        <v>43</v>
      </c>
      <c r="B1292">
        <v>2025</v>
      </c>
      <c r="C1292">
        <v>7</v>
      </c>
      <c r="D1292" t="s">
        <v>10</v>
      </c>
      <c r="E1292" t="s">
        <v>30</v>
      </c>
      <c r="F1292">
        <v>86786</v>
      </c>
      <c r="G1292" s="3" t="s">
        <v>12</v>
      </c>
      <c r="H1292" t="str">
        <f>_xlfn.XLOOKUP(TRIM(D1292),對應!D:D,對應!E:E,"未對應")</f>
        <v>3通路方案</v>
      </c>
    </row>
    <row r="1293" spans="1:8" x14ac:dyDescent="0.4">
      <c r="A1293" t="s">
        <v>43</v>
      </c>
      <c r="B1293">
        <v>2025</v>
      </c>
      <c r="C1293">
        <v>4</v>
      </c>
      <c r="D1293" t="s">
        <v>10</v>
      </c>
      <c r="E1293" t="s">
        <v>11</v>
      </c>
      <c r="F1293">
        <v>788092</v>
      </c>
      <c r="G1293" s="3" t="s">
        <v>12</v>
      </c>
      <c r="H1293" t="str">
        <f>_xlfn.XLOOKUP(TRIM(D1293),對應!D:D,對應!E:E,"未對應")</f>
        <v>3通路方案</v>
      </c>
    </row>
    <row r="1294" spans="1:8" x14ac:dyDescent="0.4">
      <c r="A1294" t="s">
        <v>43</v>
      </c>
      <c r="B1294">
        <v>2025</v>
      </c>
      <c r="C1294">
        <v>4</v>
      </c>
      <c r="D1294" t="s">
        <v>10</v>
      </c>
      <c r="E1294" t="s">
        <v>26</v>
      </c>
      <c r="F1294">
        <v>51707</v>
      </c>
      <c r="G1294" s="3" t="s">
        <v>14</v>
      </c>
      <c r="H1294" t="str">
        <f>_xlfn.XLOOKUP(TRIM(D1294),對應!D:D,對應!E:E,"未對應")</f>
        <v>3通路方案</v>
      </c>
    </row>
    <row r="1295" spans="1:8" x14ac:dyDescent="0.4">
      <c r="A1295" t="s">
        <v>43</v>
      </c>
      <c r="B1295">
        <v>2025</v>
      </c>
      <c r="C1295">
        <v>5</v>
      </c>
      <c r="D1295" t="s">
        <v>32</v>
      </c>
      <c r="E1295" t="s">
        <v>16</v>
      </c>
      <c r="F1295">
        <v>5967264</v>
      </c>
      <c r="G1295" s="3" t="s">
        <v>32</v>
      </c>
      <c r="H1295" t="str">
        <f>_xlfn.XLOOKUP(TRIM(D1295),對應!D:D,對應!E:E,"未對應")</f>
        <v>5百事益</v>
      </c>
    </row>
    <row r="1296" spans="1:8" x14ac:dyDescent="0.4">
      <c r="A1296" t="s">
        <v>43</v>
      </c>
      <c r="B1296">
        <v>2025</v>
      </c>
      <c r="C1296">
        <v>5</v>
      </c>
      <c r="D1296" t="s">
        <v>10</v>
      </c>
      <c r="E1296" t="s">
        <v>24</v>
      </c>
      <c r="F1296">
        <v>937551100</v>
      </c>
      <c r="G1296" s="3" t="s">
        <v>14</v>
      </c>
      <c r="H1296" t="str">
        <f>_xlfn.XLOOKUP(TRIM(D1296),對應!D:D,對應!E:E,"未對應")</f>
        <v>3通路方案</v>
      </c>
    </row>
    <row r="1297" spans="1:8" x14ac:dyDescent="0.4">
      <c r="A1297" t="s">
        <v>43</v>
      </c>
      <c r="B1297">
        <v>2025</v>
      </c>
      <c r="C1297">
        <v>5</v>
      </c>
      <c r="D1297" t="s">
        <v>17</v>
      </c>
      <c r="E1297" t="s">
        <v>18</v>
      </c>
      <c r="F1297">
        <v>14966607</v>
      </c>
      <c r="G1297" s="3" t="s">
        <v>19</v>
      </c>
      <c r="H1297" t="str">
        <f>_xlfn.XLOOKUP(TRIM(D1297),對應!D:D,對應!E:E,"未對應")</f>
        <v>4筆電+盈嘉</v>
      </c>
    </row>
    <row r="1298" spans="1:8" x14ac:dyDescent="0.4">
      <c r="A1298" t="s">
        <v>43</v>
      </c>
      <c r="B1298">
        <v>2025</v>
      </c>
      <c r="C1298">
        <v>5</v>
      </c>
      <c r="D1298" t="s">
        <v>10</v>
      </c>
      <c r="E1298" t="s">
        <v>26</v>
      </c>
      <c r="F1298">
        <v>346912</v>
      </c>
      <c r="G1298" s="3" t="s">
        <v>14</v>
      </c>
      <c r="H1298" t="str">
        <f>_xlfn.XLOOKUP(TRIM(D1298),對應!D:D,對應!E:E,"未對應")</f>
        <v>3通路方案</v>
      </c>
    </row>
    <row r="1299" spans="1:8" x14ac:dyDescent="0.4">
      <c r="A1299" t="s">
        <v>43</v>
      </c>
      <c r="B1299">
        <v>2025</v>
      </c>
      <c r="C1299">
        <v>5</v>
      </c>
      <c r="D1299" t="s">
        <v>8</v>
      </c>
      <c r="E1299" t="s">
        <v>33</v>
      </c>
      <c r="F1299">
        <v>7497304</v>
      </c>
      <c r="G1299" s="3" t="s">
        <v>9</v>
      </c>
      <c r="H1299" t="str">
        <f>_xlfn.XLOOKUP(TRIM(D1299),對應!D:D,對應!E:E,"未對應")</f>
        <v>1網通+技鋼</v>
      </c>
    </row>
    <row r="1300" spans="1:8" x14ac:dyDescent="0.4">
      <c r="A1300" t="s">
        <v>43</v>
      </c>
      <c r="B1300">
        <v>2025</v>
      </c>
      <c r="C1300">
        <v>6</v>
      </c>
      <c r="D1300" t="s">
        <v>32</v>
      </c>
      <c r="E1300" t="s">
        <v>16</v>
      </c>
      <c r="F1300">
        <v>115345</v>
      </c>
      <c r="G1300" s="3" t="s">
        <v>32</v>
      </c>
      <c r="H1300" t="str">
        <f>_xlfn.XLOOKUP(TRIM(D1300),對應!D:D,對應!E:E,"未對應")</f>
        <v>5百事益</v>
      </c>
    </row>
    <row r="1301" spans="1:8" x14ac:dyDescent="0.4">
      <c r="A1301" t="s">
        <v>43</v>
      </c>
      <c r="B1301">
        <v>2025</v>
      </c>
      <c r="C1301">
        <v>6</v>
      </c>
      <c r="D1301" t="s">
        <v>32</v>
      </c>
      <c r="E1301" t="s">
        <v>16</v>
      </c>
      <c r="F1301">
        <v>4221391</v>
      </c>
      <c r="G1301" s="3" t="s">
        <v>32</v>
      </c>
      <c r="H1301" t="str">
        <f>_xlfn.XLOOKUP(TRIM(D1301),對應!D:D,對應!E:E,"未對應")</f>
        <v>5百事益</v>
      </c>
    </row>
    <row r="1302" spans="1:8" x14ac:dyDescent="0.4">
      <c r="A1302" t="s">
        <v>43</v>
      </c>
      <c r="B1302">
        <v>2025</v>
      </c>
      <c r="C1302">
        <v>6</v>
      </c>
      <c r="D1302" t="s">
        <v>10</v>
      </c>
      <c r="E1302" t="s">
        <v>13</v>
      </c>
      <c r="F1302">
        <v>-269667</v>
      </c>
      <c r="G1302" s="3" t="s">
        <v>14</v>
      </c>
      <c r="H1302" t="str">
        <f>_xlfn.XLOOKUP(TRIM(D1302),對應!D:D,對應!E:E,"未對應")</f>
        <v>3通路方案</v>
      </c>
    </row>
    <row r="1303" spans="1:8" x14ac:dyDescent="0.4">
      <c r="A1303" t="s">
        <v>43</v>
      </c>
      <c r="B1303">
        <v>2025</v>
      </c>
      <c r="C1303">
        <v>6</v>
      </c>
      <c r="D1303" t="s">
        <v>8</v>
      </c>
      <c r="E1303" t="s">
        <v>33</v>
      </c>
      <c r="F1303">
        <v>44853</v>
      </c>
      <c r="G1303" s="3" t="s">
        <v>9</v>
      </c>
      <c r="H1303" t="str">
        <f>_xlfn.XLOOKUP(TRIM(D1303),對應!D:D,對應!E:E,"未對應")</f>
        <v>1網通+技鋼</v>
      </c>
    </row>
    <row r="1304" spans="1:8" x14ac:dyDescent="0.4">
      <c r="A1304" t="s">
        <v>43</v>
      </c>
      <c r="B1304">
        <v>2025</v>
      </c>
      <c r="C1304">
        <v>6</v>
      </c>
      <c r="D1304" t="s">
        <v>17</v>
      </c>
      <c r="E1304" t="s">
        <v>18</v>
      </c>
      <c r="F1304">
        <v>7395692</v>
      </c>
      <c r="G1304" s="3" t="s">
        <v>19</v>
      </c>
      <c r="H1304" t="str">
        <f>_xlfn.XLOOKUP(TRIM(D1304),對應!D:D,對應!E:E,"未對應")</f>
        <v>4筆電+盈嘉</v>
      </c>
    </row>
    <row r="1305" spans="1:8" x14ac:dyDescent="0.4">
      <c r="A1305" t="s">
        <v>43</v>
      </c>
      <c r="B1305">
        <v>2025</v>
      </c>
      <c r="C1305">
        <v>6</v>
      </c>
      <c r="D1305" t="s">
        <v>10</v>
      </c>
      <c r="E1305" t="s">
        <v>27</v>
      </c>
      <c r="F1305">
        <v>11550096</v>
      </c>
      <c r="G1305" s="3" t="s">
        <v>28</v>
      </c>
      <c r="H1305" t="str">
        <f>_xlfn.XLOOKUP(TRIM(D1305),對應!D:D,對應!E:E,"未對應")</f>
        <v>3通路方案</v>
      </c>
    </row>
    <row r="1306" spans="1:8" x14ac:dyDescent="0.4">
      <c r="A1306" t="s">
        <v>7</v>
      </c>
      <c r="B1306">
        <v>2025</v>
      </c>
      <c r="C1306">
        <v>9</v>
      </c>
      <c r="D1306" t="s">
        <v>10</v>
      </c>
      <c r="E1306" t="s">
        <v>26</v>
      </c>
      <c r="F1306">
        <v>64109838</v>
      </c>
      <c r="G1306" s="3" t="s">
        <v>14</v>
      </c>
      <c r="H1306" t="str">
        <f>_xlfn.XLOOKUP(TRIM(D1306),對應!D:D,對應!E:E,"未對應")</f>
        <v>3通路方案</v>
      </c>
    </row>
    <row r="1307" spans="1:8" x14ac:dyDescent="0.4">
      <c r="A1307" t="s">
        <v>7</v>
      </c>
      <c r="B1307">
        <v>2025</v>
      </c>
      <c r="C1307">
        <v>9</v>
      </c>
      <c r="D1307" t="s">
        <v>10</v>
      </c>
      <c r="E1307" t="s">
        <v>21</v>
      </c>
      <c r="F1307">
        <v>6885840412</v>
      </c>
      <c r="G1307" s="3" t="s">
        <v>22</v>
      </c>
      <c r="H1307" t="str">
        <f>_xlfn.XLOOKUP(TRIM(D1307),對應!D:D,對應!E:E,"未對應")</f>
        <v>3通路方案</v>
      </c>
    </row>
    <row r="1308" spans="1:8" x14ac:dyDescent="0.4">
      <c r="A1308" t="s">
        <v>7</v>
      </c>
      <c r="B1308">
        <v>2025</v>
      </c>
      <c r="C1308">
        <v>9</v>
      </c>
      <c r="D1308" t="s">
        <v>8</v>
      </c>
      <c r="E1308" t="s">
        <v>33</v>
      </c>
      <c r="F1308">
        <v>-6287648</v>
      </c>
      <c r="G1308" s="3" t="s">
        <v>9</v>
      </c>
      <c r="H1308" t="str">
        <f>_xlfn.XLOOKUP(TRIM(D1308),對應!D:D,對應!E:E,"未對應")</f>
        <v>1網通+技鋼</v>
      </c>
    </row>
    <row r="1309" spans="1:8" x14ac:dyDescent="0.4">
      <c r="A1309" t="s">
        <v>7</v>
      </c>
      <c r="B1309">
        <v>2025</v>
      </c>
      <c r="C1309">
        <v>9</v>
      </c>
      <c r="D1309" t="s">
        <v>15</v>
      </c>
      <c r="E1309" t="s">
        <v>16</v>
      </c>
      <c r="F1309">
        <v>97438600</v>
      </c>
      <c r="G1309" s="3" t="s">
        <v>16</v>
      </c>
      <c r="H1309" t="str">
        <f>_xlfn.XLOOKUP(TRIM(D1309),對應!D:D,對應!E:E,"未對應")</f>
        <v>7製造</v>
      </c>
    </row>
    <row r="1310" spans="1:8" x14ac:dyDescent="0.4">
      <c r="A1310" t="s">
        <v>23</v>
      </c>
      <c r="B1310">
        <v>2025</v>
      </c>
      <c r="C1310">
        <v>9</v>
      </c>
      <c r="D1310" t="s">
        <v>17</v>
      </c>
      <c r="E1310" t="s">
        <v>18</v>
      </c>
      <c r="F1310">
        <v>-3055962</v>
      </c>
      <c r="G1310" s="3" t="s">
        <v>19</v>
      </c>
      <c r="H1310" t="str">
        <f>_xlfn.XLOOKUP(TRIM(D1310),對應!D:D,對應!E:E,"未對應")</f>
        <v>4筆電+盈嘉</v>
      </c>
    </row>
    <row r="1311" spans="1:8" x14ac:dyDescent="0.4">
      <c r="A1311" t="s">
        <v>23</v>
      </c>
      <c r="B1311">
        <v>2025</v>
      </c>
      <c r="C1311">
        <v>9</v>
      </c>
      <c r="D1311" t="s">
        <v>10</v>
      </c>
      <c r="E1311" t="s">
        <v>16</v>
      </c>
      <c r="F1311">
        <v>-213605</v>
      </c>
      <c r="G1311" s="3" t="s">
        <v>16</v>
      </c>
      <c r="H1311" t="str">
        <f>_xlfn.XLOOKUP(TRIM(D1311),對應!D:D,對應!E:E,"未對應")</f>
        <v>3通路方案</v>
      </c>
    </row>
    <row r="1312" spans="1:8" x14ac:dyDescent="0.4">
      <c r="A1312" t="s">
        <v>23</v>
      </c>
      <c r="B1312">
        <v>2025</v>
      </c>
      <c r="C1312">
        <v>9</v>
      </c>
      <c r="D1312" t="s">
        <v>10</v>
      </c>
      <c r="E1312" t="s">
        <v>24</v>
      </c>
      <c r="F1312">
        <v>-796199972</v>
      </c>
      <c r="G1312" s="3" t="s">
        <v>14</v>
      </c>
      <c r="H1312" t="str">
        <f>_xlfn.XLOOKUP(TRIM(D1312),對應!D:D,對應!E:E,"未對應")</f>
        <v>3通路方案</v>
      </c>
    </row>
    <row r="1313" spans="1:8" x14ac:dyDescent="0.4">
      <c r="A1313" t="s">
        <v>23</v>
      </c>
      <c r="B1313">
        <v>2025</v>
      </c>
      <c r="C1313">
        <v>9</v>
      </c>
      <c r="D1313" t="s">
        <v>10</v>
      </c>
      <c r="E1313" t="s">
        <v>29</v>
      </c>
      <c r="F1313">
        <v>-281061</v>
      </c>
      <c r="G1313" s="3" t="s">
        <v>12</v>
      </c>
      <c r="H1313" t="str">
        <f>_xlfn.XLOOKUP(TRIM(D1313),對應!D:D,對應!E:E,"未對應")</f>
        <v>3通路方案</v>
      </c>
    </row>
    <row r="1314" spans="1:8" x14ac:dyDescent="0.4">
      <c r="A1314" t="s">
        <v>23</v>
      </c>
      <c r="B1314">
        <v>2025</v>
      </c>
      <c r="C1314">
        <v>9</v>
      </c>
      <c r="D1314" t="s">
        <v>10</v>
      </c>
      <c r="E1314" t="s">
        <v>20</v>
      </c>
      <c r="F1314">
        <v>-56370</v>
      </c>
      <c r="G1314" s="3" t="s">
        <v>12</v>
      </c>
      <c r="H1314" t="str">
        <f>_xlfn.XLOOKUP(TRIM(D1314),對應!D:D,對應!E:E,"未對應")</f>
        <v>3通路方案</v>
      </c>
    </row>
    <row r="1315" spans="1:8" x14ac:dyDescent="0.4">
      <c r="A1315" t="s">
        <v>23</v>
      </c>
      <c r="B1315">
        <v>2025</v>
      </c>
      <c r="C1315">
        <v>9</v>
      </c>
      <c r="D1315" t="s">
        <v>10</v>
      </c>
      <c r="E1315" t="s">
        <v>25</v>
      </c>
      <c r="F1315">
        <v>-95257</v>
      </c>
      <c r="G1315" s="3" t="s">
        <v>14</v>
      </c>
      <c r="H1315" t="str">
        <f>_xlfn.XLOOKUP(TRIM(D1315),對應!D:D,對應!E:E,"未對應")</f>
        <v>3通路方案</v>
      </c>
    </row>
    <row r="1316" spans="1:8" x14ac:dyDescent="0.4">
      <c r="A1316" t="s">
        <v>23</v>
      </c>
      <c r="B1316">
        <v>2025</v>
      </c>
      <c r="C1316">
        <v>9</v>
      </c>
      <c r="D1316" t="s">
        <v>10</v>
      </c>
      <c r="E1316" t="s">
        <v>16</v>
      </c>
      <c r="F1316">
        <v>793071</v>
      </c>
      <c r="G1316" s="3" t="s">
        <v>16</v>
      </c>
      <c r="H1316" t="str">
        <f>_xlfn.XLOOKUP(TRIM(D1316),對應!D:D,對應!E:E,"未對應")</f>
        <v>3通路方案</v>
      </c>
    </row>
    <row r="1317" spans="1:8" x14ac:dyDescent="0.4">
      <c r="A1317" t="s">
        <v>23</v>
      </c>
      <c r="B1317">
        <v>2025</v>
      </c>
      <c r="C1317">
        <v>9</v>
      </c>
      <c r="D1317" t="s">
        <v>10</v>
      </c>
      <c r="E1317" t="s">
        <v>11</v>
      </c>
      <c r="F1317">
        <v>-735074</v>
      </c>
      <c r="G1317" s="3" t="s">
        <v>12</v>
      </c>
      <c r="H1317" t="str">
        <f>_xlfn.XLOOKUP(TRIM(D1317),對應!D:D,對應!E:E,"未對應")</f>
        <v>3通路方案</v>
      </c>
    </row>
    <row r="1318" spans="1:8" x14ac:dyDescent="0.4">
      <c r="A1318" t="s">
        <v>23</v>
      </c>
      <c r="B1318">
        <v>2025</v>
      </c>
      <c r="C1318">
        <v>9</v>
      </c>
      <c r="D1318" t="s">
        <v>10</v>
      </c>
      <c r="E1318" t="s">
        <v>26</v>
      </c>
      <c r="F1318">
        <v>-9232233</v>
      </c>
      <c r="G1318" s="3" t="s">
        <v>14</v>
      </c>
      <c r="H1318" t="str">
        <f>_xlfn.XLOOKUP(TRIM(D1318),對應!D:D,對應!E:E,"未對應")</f>
        <v>3通路方案</v>
      </c>
    </row>
    <row r="1319" spans="1:8" x14ac:dyDescent="0.4">
      <c r="A1319" t="s">
        <v>23</v>
      </c>
      <c r="B1319">
        <v>2025</v>
      </c>
      <c r="C1319">
        <v>9</v>
      </c>
      <c r="D1319" t="s">
        <v>10</v>
      </c>
      <c r="E1319" t="s">
        <v>21</v>
      </c>
      <c r="F1319">
        <v>-1096246439</v>
      </c>
      <c r="G1319" s="3" t="s">
        <v>22</v>
      </c>
      <c r="H1319" t="str">
        <f>_xlfn.XLOOKUP(TRIM(D1319),對應!D:D,對應!E:E,"未對應")</f>
        <v>3通路方案</v>
      </c>
    </row>
    <row r="1320" spans="1:8" x14ac:dyDescent="0.4">
      <c r="A1320" t="s">
        <v>23</v>
      </c>
      <c r="B1320">
        <v>2025</v>
      </c>
      <c r="C1320">
        <v>9</v>
      </c>
      <c r="D1320" t="s">
        <v>15</v>
      </c>
      <c r="E1320" t="s">
        <v>16</v>
      </c>
      <c r="F1320">
        <v>-9153972</v>
      </c>
      <c r="G1320" s="3" t="s">
        <v>16</v>
      </c>
      <c r="H1320" t="str">
        <f>_xlfn.XLOOKUP(TRIM(D1320),對應!D:D,對應!E:E,"未對應")</f>
        <v>7製造</v>
      </c>
    </row>
    <row r="1321" spans="1:8" x14ac:dyDescent="0.4">
      <c r="A1321" t="s">
        <v>23</v>
      </c>
      <c r="B1321">
        <v>2025</v>
      </c>
      <c r="C1321">
        <v>9</v>
      </c>
      <c r="D1321" t="s">
        <v>15</v>
      </c>
      <c r="E1321" t="s">
        <v>16</v>
      </c>
      <c r="F1321">
        <v>-10166830</v>
      </c>
      <c r="G1321" s="3" t="s">
        <v>16</v>
      </c>
      <c r="H1321" t="str">
        <f>_xlfn.XLOOKUP(TRIM(D1321),對應!D:D,對應!E:E,"未對應")</f>
        <v>7製造</v>
      </c>
    </row>
    <row r="1322" spans="1:8" x14ac:dyDescent="0.4">
      <c r="A1322" t="s">
        <v>23</v>
      </c>
      <c r="B1322">
        <v>2025</v>
      </c>
      <c r="C1322">
        <v>9</v>
      </c>
      <c r="D1322" t="s">
        <v>15</v>
      </c>
      <c r="E1322" t="s">
        <v>16</v>
      </c>
      <c r="F1322">
        <v>-71237754</v>
      </c>
      <c r="G1322" s="3" t="s">
        <v>16</v>
      </c>
      <c r="H1322" t="str">
        <f>_xlfn.XLOOKUP(TRIM(D1322),對應!D:D,對應!E:E,"未對應")</f>
        <v>7製造</v>
      </c>
    </row>
    <row r="1323" spans="1:8" x14ac:dyDescent="0.4">
      <c r="A1323" t="s">
        <v>23</v>
      </c>
      <c r="B1323">
        <v>2025</v>
      </c>
      <c r="C1323">
        <v>9</v>
      </c>
      <c r="D1323" t="s">
        <v>15</v>
      </c>
      <c r="E1323" t="s">
        <v>16</v>
      </c>
      <c r="F1323">
        <v>-779540</v>
      </c>
      <c r="G1323" s="3" t="s">
        <v>16</v>
      </c>
      <c r="H1323" t="str">
        <f>_xlfn.XLOOKUP(TRIM(D1323),對應!D:D,對應!E:E,"未對應")</f>
        <v>7製造</v>
      </c>
    </row>
    <row r="1324" spans="1:8" x14ac:dyDescent="0.4">
      <c r="A1324" t="s">
        <v>23</v>
      </c>
      <c r="B1324">
        <v>2025</v>
      </c>
      <c r="C1324">
        <v>9</v>
      </c>
      <c r="D1324" t="s">
        <v>17</v>
      </c>
      <c r="E1324" t="s">
        <v>18</v>
      </c>
      <c r="F1324">
        <v>-464030709</v>
      </c>
      <c r="G1324" s="3" t="s">
        <v>19</v>
      </c>
      <c r="H1324" t="str">
        <f>_xlfn.XLOOKUP(TRIM(D1324),對應!D:D,對應!E:E,"未對應")</f>
        <v>4筆電+盈嘉</v>
      </c>
    </row>
    <row r="1325" spans="1:8" x14ac:dyDescent="0.4">
      <c r="A1325" t="s">
        <v>23</v>
      </c>
      <c r="B1325">
        <v>2025</v>
      </c>
      <c r="C1325">
        <v>9</v>
      </c>
      <c r="D1325" t="s">
        <v>10</v>
      </c>
      <c r="E1325" t="s">
        <v>24</v>
      </c>
      <c r="F1325">
        <v>-363986950</v>
      </c>
      <c r="G1325" s="3" t="s">
        <v>14</v>
      </c>
      <c r="H1325" t="str">
        <f>_xlfn.XLOOKUP(TRIM(D1325),對應!D:D,對應!E:E,"未對應")</f>
        <v>3通路方案</v>
      </c>
    </row>
    <row r="1326" spans="1:8" x14ac:dyDescent="0.4">
      <c r="A1326" t="s">
        <v>23</v>
      </c>
      <c r="B1326">
        <v>2025</v>
      </c>
      <c r="C1326">
        <v>9</v>
      </c>
      <c r="D1326" t="s">
        <v>10</v>
      </c>
      <c r="E1326" t="s">
        <v>20</v>
      </c>
      <c r="F1326">
        <v>-1467894</v>
      </c>
      <c r="G1326" s="3" t="s">
        <v>12</v>
      </c>
      <c r="H1326" t="str">
        <f>_xlfn.XLOOKUP(TRIM(D1326),對應!D:D,對應!E:E,"未對應")</f>
        <v>3通路方案</v>
      </c>
    </row>
    <row r="1327" spans="1:8" x14ac:dyDescent="0.4">
      <c r="A1327" t="s">
        <v>23</v>
      </c>
      <c r="B1327">
        <v>2025</v>
      </c>
      <c r="C1327">
        <v>9</v>
      </c>
      <c r="D1327" t="s">
        <v>10</v>
      </c>
      <c r="E1327" t="s">
        <v>27</v>
      </c>
      <c r="F1327">
        <v>-23007983</v>
      </c>
      <c r="G1327" s="3" t="s">
        <v>28</v>
      </c>
      <c r="H1327" t="str">
        <f>_xlfn.XLOOKUP(TRIM(D1327),對應!D:D,對應!E:E,"未對應")</f>
        <v>3通路方案</v>
      </c>
    </row>
    <row r="1328" spans="1:8" x14ac:dyDescent="0.4">
      <c r="A1328" t="s">
        <v>23</v>
      </c>
      <c r="B1328">
        <v>2025</v>
      </c>
      <c r="C1328">
        <v>9</v>
      </c>
      <c r="D1328" t="s">
        <v>10</v>
      </c>
      <c r="E1328" t="s">
        <v>11</v>
      </c>
      <c r="F1328">
        <v>-8273213</v>
      </c>
      <c r="G1328" s="3" t="s">
        <v>12</v>
      </c>
      <c r="H1328" t="str">
        <f>_xlfn.XLOOKUP(TRIM(D1328),對應!D:D,對應!E:E,"未對應")</f>
        <v>3通路方案</v>
      </c>
    </row>
    <row r="1329" spans="1:8" x14ac:dyDescent="0.4">
      <c r="A1329" t="s">
        <v>23</v>
      </c>
      <c r="B1329">
        <v>2025</v>
      </c>
      <c r="C1329">
        <v>9</v>
      </c>
      <c r="D1329" t="s">
        <v>10</v>
      </c>
      <c r="E1329" t="s">
        <v>21</v>
      </c>
      <c r="F1329">
        <v>-1436511830</v>
      </c>
      <c r="G1329" s="3" t="s">
        <v>22</v>
      </c>
      <c r="H1329" t="str">
        <f>_xlfn.XLOOKUP(TRIM(D1329),對應!D:D,對應!E:E,"未對應")</f>
        <v>3通路方案</v>
      </c>
    </row>
    <row r="1330" spans="1:8" x14ac:dyDescent="0.4">
      <c r="A1330" t="s">
        <v>23</v>
      </c>
      <c r="B1330">
        <v>2025</v>
      </c>
      <c r="C1330">
        <v>9</v>
      </c>
      <c r="D1330" t="s">
        <v>8</v>
      </c>
      <c r="E1330" t="s">
        <v>33</v>
      </c>
      <c r="F1330">
        <v>6289893</v>
      </c>
      <c r="G1330" s="3" t="s">
        <v>9</v>
      </c>
      <c r="H1330" t="str">
        <f>_xlfn.XLOOKUP(TRIM(D1330),對應!D:D,對應!E:E,"未對應")</f>
        <v>1網通+技鋼</v>
      </c>
    </row>
    <row r="1331" spans="1:8" x14ac:dyDescent="0.4">
      <c r="A1331" t="s">
        <v>41</v>
      </c>
      <c r="B1331">
        <v>2025</v>
      </c>
      <c r="C1331">
        <v>12</v>
      </c>
      <c r="D1331" t="s">
        <v>32</v>
      </c>
      <c r="E1331" t="s">
        <v>16</v>
      </c>
      <c r="F1331">
        <v>-39853</v>
      </c>
      <c r="G1331" s="3" t="s">
        <v>32</v>
      </c>
      <c r="H1331" t="str">
        <f>_xlfn.XLOOKUP(TRIM(D1331),對應!D:D,對應!E:E,"未對應")</f>
        <v>5百事益</v>
      </c>
    </row>
    <row r="1332" spans="1:8" x14ac:dyDescent="0.4">
      <c r="A1332" t="s">
        <v>41</v>
      </c>
      <c r="B1332">
        <v>2025</v>
      </c>
      <c r="C1332">
        <v>12</v>
      </c>
      <c r="D1332" t="s">
        <v>39</v>
      </c>
      <c r="E1332" t="s">
        <v>40</v>
      </c>
      <c r="F1332">
        <v>-126771</v>
      </c>
      <c r="G1332" s="3" t="s">
        <v>42</v>
      </c>
      <c r="H1332" t="str">
        <f>_xlfn.XLOOKUP(TRIM(D1332),對應!D:D,對應!E:E,"未對應")</f>
        <v>2技宸</v>
      </c>
    </row>
    <row r="1333" spans="1:8" x14ac:dyDescent="0.4">
      <c r="A1333" t="s">
        <v>41</v>
      </c>
      <c r="B1333">
        <v>2025</v>
      </c>
      <c r="C1333">
        <v>12</v>
      </c>
      <c r="D1333" t="s">
        <v>39</v>
      </c>
      <c r="E1333" t="s">
        <v>40</v>
      </c>
      <c r="F1333">
        <v>-2176269</v>
      </c>
      <c r="G1333" s="3" t="s">
        <v>42</v>
      </c>
      <c r="H1333" t="str">
        <f>_xlfn.XLOOKUP(TRIM(D1333),對應!D:D,對應!E:E,"未對應")</f>
        <v>2技宸</v>
      </c>
    </row>
    <row r="1334" spans="1:8" x14ac:dyDescent="0.4">
      <c r="A1334" t="s">
        <v>41</v>
      </c>
      <c r="B1334">
        <v>2025</v>
      </c>
      <c r="C1334">
        <v>12</v>
      </c>
      <c r="D1334" t="s">
        <v>39</v>
      </c>
      <c r="E1334" t="s">
        <v>40</v>
      </c>
      <c r="F1334">
        <v>1508926</v>
      </c>
      <c r="G1334" s="3" t="s">
        <v>42</v>
      </c>
      <c r="H1334" t="str">
        <f>_xlfn.XLOOKUP(TRIM(D1334),對應!D:D,對應!E:E,"未對應")</f>
        <v>2技宸</v>
      </c>
    </row>
    <row r="1335" spans="1:8" x14ac:dyDescent="0.4">
      <c r="A1335" t="s">
        <v>41</v>
      </c>
      <c r="B1335">
        <v>2025</v>
      </c>
      <c r="C1335">
        <v>12</v>
      </c>
      <c r="D1335" t="s">
        <v>8</v>
      </c>
      <c r="E1335" t="s">
        <v>16</v>
      </c>
      <c r="F1335">
        <v>-8499327</v>
      </c>
      <c r="G1335" s="3" t="s">
        <v>16</v>
      </c>
      <c r="H1335" t="str">
        <f>_xlfn.XLOOKUP(TRIM(D1335),對應!D:D,對應!E:E,"未對應")</f>
        <v>1網通+技鋼</v>
      </c>
    </row>
    <row r="1336" spans="1:8" x14ac:dyDescent="0.4">
      <c r="A1336" t="s">
        <v>41</v>
      </c>
      <c r="B1336">
        <v>2025</v>
      </c>
      <c r="C1336">
        <v>12</v>
      </c>
      <c r="D1336" t="s">
        <v>8</v>
      </c>
      <c r="E1336" t="s">
        <v>16</v>
      </c>
      <c r="F1336">
        <v>4310882</v>
      </c>
      <c r="G1336" s="3" t="s">
        <v>16</v>
      </c>
      <c r="H1336" t="str">
        <f>_xlfn.XLOOKUP(TRIM(D1336),對應!D:D,對應!E:E,"未對應")</f>
        <v>1網通+技鋼</v>
      </c>
    </row>
    <row r="1337" spans="1:8" x14ac:dyDescent="0.4">
      <c r="A1337" t="s">
        <v>41</v>
      </c>
      <c r="B1337">
        <v>2025</v>
      </c>
      <c r="C1337">
        <v>12</v>
      </c>
      <c r="D1337" t="s">
        <v>8</v>
      </c>
      <c r="E1337" t="s">
        <v>16</v>
      </c>
      <c r="F1337">
        <v>-67233333</v>
      </c>
      <c r="G1337" s="3" t="s">
        <v>16</v>
      </c>
      <c r="H1337" t="str">
        <f>_xlfn.XLOOKUP(TRIM(D1337),對應!D:D,對應!E:E,"未對應")</f>
        <v>1網通+技鋼</v>
      </c>
    </row>
    <row r="1338" spans="1:8" x14ac:dyDescent="0.4">
      <c r="A1338" t="s">
        <v>41</v>
      </c>
      <c r="B1338">
        <v>2025</v>
      </c>
      <c r="C1338">
        <v>12</v>
      </c>
      <c r="D1338" t="s">
        <v>8</v>
      </c>
      <c r="E1338" t="s">
        <v>16</v>
      </c>
      <c r="F1338">
        <v>23915</v>
      </c>
      <c r="G1338" s="3" t="s">
        <v>16</v>
      </c>
      <c r="H1338" t="str">
        <f>_xlfn.XLOOKUP(TRIM(D1338),對應!D:D,對應!E:E,"未對應")</f>
        <v>1網通+技鋼</v>
      </c>
    </row>
    <row r="1339" spans="1:8" x14ac:dyDescent="0.4">
      <c r="A1339" t="s">
        <v>41</v>
      </c>
      <c r="B1339">
        <v>2025</v>
      </c>
      <c r="C1339">
        <v>12</v>
      </c>
      <c r="D1339" t="s">
        <v>8</v>
      </c>
      <c r="E1339" t="s">
        <v>16</v>
      </c>
      <c r="F1339">
        <v>-185273136</v>
      </c>
      <c r="G1339" s="3" t="s">
        <v>16</v>
      </c>
      <c r="H1339" t="str">
        <f>_xlfn.XLOOKUP(TRIM(D1339),對應!D:D,對應!E:E,"未對應")</f>
        <v>1網通+技鋼</v>
      </c>
    </row>
    <row r="1340" spans="1:8" x14ac:dyDescent="0.4">
      <c r="A1340" t="s">
        <v>41</v>
      </c>
      <c r="B1340">
        <v>2025</v>
      </c>
      <c r="C1340">
        <v>12</v>
      </c>
      <c r="D1340" t="s">
        <v>8</v>
      </c>
      <c r="E1340" t="s">
        <v>16</v>
      </c>
      <c r="F1340">
        <v>-43684</v>
      </c>
      <c r="G1340" s="3" t="s">
        <v>16</v>
      </c>
      <c r="H1340" t="str">
        <f>_xlfn.XLOOKUP(TRIM(D1340),對應!D:D,對應!E:E,"未對應")</f>
        <v>1網通+技鋼</v>
      </c>
    </row>
    <row r="1341" spans="1:8" x14ac:dyDescent="0.4">
      <c r="A1341" t="s">
        <v>41</v>
      </c>
      <c r="B1341">
        <v>2025</v>
      </c>
      <c r="C1341">
        <v>12</v>
      </c>
      <c r="D1341" t="s">
        <v>8</v>
      </c>
      <c r="E1341" t="s">
        <v>16</v>
      </c>
      <c r="F1341">
        <v>1963022</v>
      </c>
      <c r="G1341" s="3" t="s">
        <v>16</v>
      </c>
      <c r="H1341" t="str">
        <f>_xlfn.XLOOKUP(TRIM(D1341),對應!D:D,對應!E:E,"未對應")</f>
        <v>1網通+技鋼</v>
      </c>
    </row>
    <row r="1342" spans="1:8" x14ac:dyDescent="0.4">
      <c r="A1342" t="s">
        <v>31</v>
      </c>
      <c r="B1342">
        <v>2025</v>
      </c>
      <c r="C1342">
        <v>10</v>
      </c>
      <c r="D1342" t="s">
        <v>8</v>
      </c>
      <c r="E1342" t="s">
        <v>33</v>
      </c>
      <c r="F1342">
        <v>-7011725</v>
      </c>
      <c r="G1342" s="3" t="s">
        <v>9</v>
      </c>
      <c r="H1342" t="str">
        <f>_xlfn.XLOOKUP(TRIM(D1342),對應!D:D,對應!E:E,"未對應")</f>
        <v>1網通+技鋼</v>
      </c>
    </row>
    <row r="1343" spans="1:8" x14ac:dyDescent="0.4">
      <c r="A1343" t="s">
        <v>31</v>
      </c>
      <c r="B1343">
        <v>2025</v>
      </c>
      <c r="C1343">
        <v>10</v>
      </c>
      <c r="D1343" t="s">
        <v>32</v>
      </c>
      <c r="E1343" t="s">
        <v>16</v>
      </c>
      <c r="F1343">
        <v>-1797</v>
      </c>
      <c r="G1343" s="3" t="s">
        <v>32</v>
      </c>
      <c r="H1343" t="str">
        <f>_xlfn.XLOOKUP(TRIM(D1343),對應!D:D,對應!E:E,"未對應")</f>
        <v>5百事益</v>
      </c>
    </row>
    <row r="1344" spans="1:8" x14ac:dyDescent="0.4">
      <c r="A1344" t="s">
        <v>31</v>
      </c>
      <c r="B1344">
        <v>2025</v>
      </c>
      <c r="C1344">
        <v>10</v>
      </c>
      <c r="D1344" t="s">
        <v>32</v>
      </c>
      <c r="E1344" t="s">
        <v>16</v>
      </c>
      <c r="F1344">
        <v>-16552367</v>
      </c>
      <c r="G1344" s="3" t="s">
        <v>32</v>
      </c>
      <c r="H1344" t="str">
        <f>_xlfn.XLOOKUP(TRIM(D1344),對應!D:D,對應!E:E,"未對應")</f>
        <v>5百事益</v>
      </c>
    </row>
    <row r="1345" spans="1:8" x14ac:dyDescent="0.4">
      <c r="A1345" t="s">
        <v>31</v>
      </c>
      <c r="B1345">
        <v>2025</v>
      </c>
      <c r="C1345">
        <v>10</v>
      </c>
      <c r="D1345" t="s">
        <v>32</v>
      </c>
      <c r="E1345" t="s">
        <v>16</v>
      </c>
      <c r="F1345">
        <v>-120644</v>
      </c>
      <c r="G1345" s="3" t="s">
        <v>32</v>
      </c>
      <c r="H1345" t="str">
        <f>_xlfn.XLOOKUP(TRIM(D1345),對應!D:D,對應!E:E,"未對應")</f>
        <v>5百事益</v>
      </c>
    </row>
    <row r="1346" spans="1:8" x14ac:dyDescent="0.4">
      <c r="A1346" t="s">
        <v>31</v>
      </c>
      <c r="B1346">
        <v>2025</v>
      </c>
      <c r="C1346">
        <v>10</v>
      </c>
      <c r="D1346" t="s">
        <v>32</v>
      </c>
      <c r="E1346" t="s">
        <v>16</v>
      </c>
      <c r="F1346">
        <v>-211498</v>
      </c>
      <c r="G1346" s="3" t="s">
        <v>32</v>
      </c>
      <c r="H1346" t="str">
        <f>_xlfn.XLOOKUP(TRIM(D1346),對應!D:D,對應!E:E,"未對應")</f>
        <v>5百事益</v>
      </c>
    </row>
    <row r="1347" spans="1:8" x14ac:dyDescent="0.4">
      <c r="A1347" t="s">
        <v>36</v>
      </c>
      <c r="B1347">
        <v>2025</v>
      </c>
      <c r="C1347">
        <v>10</v>
      </c>
      <c r="D1347" t="s">
        <v>32</v>
      </c>
      <c r="E1347" t="s">
        <v>16</v>
      </c>
      <c r="F1347">
        <v>81935741</v>
      </c>
      <c r="G1347" s="3" t="s">
        <v>32</v>
      </c>
      <c r="H1347" t="str">
        <f>_xlfn.XLOOKUP(TRIM(D1347),對應!D:D,對應!E:E,"未對應")</f>
        <v>5百事益</v>
      </c>
    </row>
    <row r="1348" spans="1:8" x14ac:dyDescent="0.4">
      <c r="A1348" t="s">
        <v>36</v>
      </c>
      <c r="B1348">
        <v>2025</v>
      </c>
      <c r="C1348">
        <v>10</v>
      </c>
      <c r="D1348" t="s">
        <v>39</v>
      </c>
      <c r="E1348" t="s">
        <v>40</v>
      </c>
      <c r="F1348">
        <v>155358009</v>
      </c>
      <c r="G1348" s="3" t="s">
        <v>42</v>
      </c>
      <c r="H1348" t="str">
        <f>_xlfn.XLOOKUP(TRIM(D1348),對應!D:D,對應!E:E,"未對應")</f>
        <v>2技宸</v>
      </c>
    </row>
    <row r="1349" spans="1:8" x14ac:dyDescent="0.4">
      <c r="A1349" t="s">
        <v>36</v>
      </c>
      <c r="B1349">
        <v>2025</v>
      </c>
      <c r="C1349">
        <v>10</v>
      </c>
      <c r="D1349" t="s">
        <v>8</v>
      </c>
      <c r="E1349" t="s">
        <v>33</v>
      </c>
      <c r="F1349">
        <v>16302195046</v>
      </c>
      <c r="G1349" s="3" t="s">
        <v>9</v>
      </c>
      <c r="H1349" t="str">
        <f>_xlfn.XLOOKUP(TRIM(D1349),對應!D:D,對應!E:E,"未對應")</f>
        <v>1網通+技鋼</v>
      </c>
    </row>
    <row r="1350" spans="1:8" x14ac:dyDescent="0.4">
      <c r="A1350" t="s">
        <v>36</v>
      </c>
      <c r="B1350">
        <v>2025</v>
      </c>
      <c r="C1350">
        <v>10</v>
      </c>
      <c r="D1350" t="s">
        <v>17</v>
      </c>
      <c r="E1350" t="s">
        <v>18</v>
      </c>
      <c r="F1350">
        <v>476009727</v>
      </c>
      <c r="G1350" s="3" t="s">
        <v>19</v>
      </c>
      <c r="H1350" t="str">
        <f>_xlfn.XLOOKUP(TRIM(D1350),對應!D:D,對應!E:E,"未對應")</f>
        <v>4筆電+盈嘉</v>
      </c>
    </row>
    <row r="1351" spans="1:8" x14ac:dyDescent="0.4">
      <c r="A1351" t="s">
        <v>36</v>
      </c>
      <c r="B1351">
        <v>2025</v>
      </c>
      <c r="C1351">
        <v>10</v>
      </c>
      <c r="D1351" t="s">
        <v>15</v>
      </c>
      <c r="E1351" t="s">
        <v>16</v>
      </c>
      <c r="F1351">
        <v>4035261</v>
      </c>
      <c r="G1351" s="3" t="s">
        <v>16</v>
      </c>
      <c r="H1351" t="str">
        <f>_xlfn.XLOOKUP(TRIM(D1351),對應!D:D,對應!E:E,"未對應")</f>
        <v>7製造</v>
      </c>
    </row>
    <row r="1352" spans="1:8" x14ac:dyDescent="0.4">
      <c r="A1352" t="s">
        <v>36</v>
      </c>
      <c r="B1352">
        <v>2025</v>
      </c>
      <c r="C1352">
        <v>10</v>
      </c>
      <c r="D1352" t="s">
        <v>37</v>
      </c>
      <c r="E1352" t="s">
        <v>16</v>
      </c>
      <c r="F1352">
        <v>24850897</v>
      </c>
      <c r="G1352" s="3" t="s">
        <v>37</v>
      </c>
      <c r="H1352" t="str">
        <f>_xlfn.XLOOKUP(TRIM(D1352),對應!D:D,對應!E:E,"未對應")</f>
        <v>6雲城</v>
      </c>
    </row>
    <row r="1353" spans="1:8" x14ac:dyDescent="0.4">
      <c r="A1353" t="s">
        <v>36</v>
      </c>
      <c r="B1353">
        <v>2025</v>
      </c>
      <c r="C1353">
        <v>10</v>
      </c>
      <c r="D1353" t="s">
        <v>15</v>
      </c>
      <c r="E1353" t="s">
        <v>16</v>
      </c>
      <c r="F1353">
        <v>67859060</v>
      </c>
      <c r="G1353" s="3" t="s">
        <v>16</v>
      </c>
      <c r="H1353" t="str">
        <f>_xlfn.XLOOKUP(TRIM(D1353),對應!D:D,對應!E:E,"未對應")</f>
        <v>7製造</v>
      </c>
    </row>
    <row r="1354" spans="1:8" x14ac:dyDescent="0.4">
      <c r="A1354" t="s">
        <v>41</v>
      </c>
      <c r="B1354">
        <v>2025</v>
      </c>
      <c r="C1354">
        <v>10</v>
      </c>
      <c r="D1354" t="s">
        <v>32</v>
      </c>
      <c r="E1354" t="s">
        <v>16</v>
      </c>
      <c r="F1354">
        <v>-49678737</v>
      </c>
      <c r="G1354" s="3" t="s">
        <v>32</v>
      </c>
      <c r="H1354" t="str">
        <f>_xlfn.XLOOKUP(TRIM(D1354),對應!D:D,對應!E:E,"未對應")</f>
        <v>5百事益</v>
      </c>
    </row>
    <row r="1355" spans="1:8" x14ac:dyDescent="0.4">
      <c r="A1355" t="s">
        <v>41</v>
      </c>
      <c r="B1355">
        <v>2025</v>
      </c>
      <c r="C1355">
        <v>10</v>
      </c>
      <c r="D1355" t="s">
        <v>32</v>
      </c>
      <c r="E1355" t="s">
        <v>16</v>
      </c>
      <c r="F1355">
        <v>-1040180</v>
      </c>
      <c r="G1355" s="3" t="s">
        <v>32</v>
      </c>
      <c r="H1355" t="str">
        <f>_xlfn.XLOOKUP(TRIM(D1355),對應!D:D,對應!E:E,"未對應")</f>
        <v>5百事益</v>
      </c>
    </row>
    <row r="1356" spans="1:8" x14ac:dyDescent="0.4">
      <c r="A1356" t="s">
        <v>41</v>
      </c>
      <c r="B1356">
        <v>2025</v>
      </c>
      <c r="C1356">
        <v>10</v>
      </c>
      <c r="D1356" t="s">
        <v>32</v>
      </c>
      <c r="E1356" t="s">
        <v>16</v>
      </c>
      <c r="F1356">
        <v>-401100</v>
      </c>
      <c r="G1356" s="3" t="s">
        <v>32</v>
      </c>
      <c r="H1356" t="str">
        <f>_xlfn.XLOOKUP(TRIM(D1356),對應!D:D,對應!E:E,"未對應")</f>
        <v>5百事益</v>
      </c>
    </row>
    <row r="1357" spans="1:8" x14ac:dyDescent="0.4">
      <c r="A1357" t="s">
        <v>41</v>
      </c>
      <c r="B1357">
        <v>2025</v>
      </c>
      <c r="C1357">
        <v>10</v>
      </c>
      <c r="D1357" t="s">
        <v>32</v>
      </c>
      <c r="E1357" t="s">
        <v>16</v>
      </c>
      <c r="F1357">
        <v>-9738334</v>
      </c>
      <c r="G1357" s="3" t="s">
        <v>32</v>
      </c>
      <c r="H1357" t="str">
        <f>_xlfn.XLOOKUP(TRIM(D1357),對應!D:D,對應!E:E,"未對應")</f>
        <v>5百事益</v>
      </c>
    </row>
    <row r="1358" spans="1:8" x14ac:dyDescent="0.4">
      <c r="A1358" t="s">
        <v>41</v>
      </c>
      <c r="B1358">
        <v>2025</v>
      </c>
      <c r="C1358">
        <v>10</v>
      </c>
      <c r="D1358" t="s">
        <v>32</v>
      </c>
      <c r="E1358" t="s">
        <v>16</v>
      </c>
      <c r="F1358">
        <v>-47667</v>
      </c>
      <c r="G1358" s="3" t="s">
        <v>32</v>
      </c>
      <c r="H1358" t="str">
        <f>_xlfn.XLOOKUP(TRIM(D1358),對應!D:D,對應!E:E,"未對應")</f>
        <v>5百事益</v>
      </c>
    </row>
    <row r="1359" spans="1:8" x14ac:dyDescent="0.4">
      <c r="A1359" t="s">
        <v>41</v>
      </c>
      <c r="B1359">
        <v>2025</v>
      </c>
      <c r="C1359">
        <v>10</v>
      </c>
      <c r="D1359" t="s">
        <v>39</v>
      </c>
      <c r="E1359" t="s">
        <v>40</v>
      </c>
      <c r="F1359">
        <v>-94267</v>
      </c>
      <c r="G1359" s="3" t="s">
        <v>42</v>
      </c>
      <c r="H1359" t="str">
        <f>_xlfn.XLOOKUP(TRIM(D1359),對應!D:D,對應!E:E,"未對應")</f>
        <v>2技宸</v>
      </c>
    </row>
    <row r="1360" spans="1:8" x14ac:dyDescent="0.4">
      <c r="A1360" t="s">
        <v>41</v>
      </c>
      <c r="B1360">
        <v>2025</v>
      </c>
      <c r="C1360">
        <v>10</v>
      </c>
      <c r="D1360" t="s">
        <v>39</v>
      </c>
      <c r="E1360" t="s">
        <v>40</v>
      </c>
      <c r="F1360">
        <v>-911899</v>
      </c>
      <c r="G1360" s="3" t="s">
        <v>42</v>
      </c>
      <c r="H1360" t="str">
        <f>_xlfn.XLOOKUP(TRIM(D1360),對應!D:D,對應!E:E,"未對應")</f>
        <v>2技宸</v>
      </c>
    </row>
    <row r="1361" spans="1:8" x14ac:dyDescent="0.4">
      <c r="A1361" t="s">
        <v>41</v>
      </c>
      <c r="B1361">
        <v>2025</v>
      </c>
      <c r="C1361">
        <v>10</v>
      </c>
      <c r="D1361" t="s">
        <v>39</v>
      </c>
      <c r="E1361" t="s">
        <v>40</v>
      </c>
      <c r="F1361">
        <v>-750504</v>
      </c>
      <c r="G1361" s="3" t="s">
        <v>42</v>
      </c>
      <c r="H1361" t="str">
        <f>_xlfn.XLOOKUP(TRIM(D1361),對應!D:D,對應!E:E,"未對應")</f>
        <v>2技宸</v>
      </c>
    </row>
    <row r="1362" spans="1:8" x14ac:dyDescent="0.4">
      <c r="A1362" t="s">
        <v>41</v>
      </c>
      <c r="B1362">
        <v>2025</v>
      </c>
      <c r="C1362">
        <v>10</v>
      </c>
      <c r="D1362" t="s">
        <v>39</v>
      </c>
      <c r="E1362" t="s">
        <v>40</v>
      </c>
      <c r="F1362">
        <v>-9583631</v>
      </c>
      <c r="G1362" s="3" t="s">
        <v>42</v>
      </c>
      <c r="H1362" t="str">
        <f>_xlfn.XLOOKUP(TRIM(D1362),對應!D:D,對應!E:E,"未對應")</f>
        <v>2技宸</v>
      </c>
    </row>
    <row r="1363" spans="1:8" x14ac:dyDescent="0.4">
      <c r="A1363" t="s">
        <v>41</v>
      </c>
      <c r="B1363">
        <v>2025</v>
      </c>
      <c r="C1363">
        <v>10</v>
      </c>
      <c r="D1363" t="s">
        <v>8</v>
      </c>
      <c r="E1363" t="s">
        <v>33</v>
      </c>
      <c r="F1363">
        <v>-76978124</v>
      </c>
      <c r="G1363" s="3" t="s">
        <v>9</v>
      </c>
      <c r="H1363" t="str">
        <f>_xlfn.XLOOKUP(TRIM(D1363),對應!D:D,對應!E:E,"未對應")</f>
        <v>1網通+技鋼</v>
      </c>
    </row>
    <row r="1364" spans="1:8" x14ac:dyDescent="0.4">
      <c r="A1364" t="s">
        <v>41</v>
      </c>
      <c r="B1364">
        <v>2025</v>
      </c>
      <c r="C1364">
        <v>10</v>
      </c>
      <c r="D1364" t="s">
        <v>8</v>
      </c>
      <c r="E1364" t="s">
        <v>33</v>
      </c>
      <c r="F1364">
        <v>-19111929</v>
      </c>
      <c r="G1364" s="3" t="s">
        <v>9</v>
      </c>
      <c r="H1364" t="str">
        <f>_xlfn.XLOOKUP(TRIM(D1364),對應!D:D,對應!E:E,"未對應")</f>
        <v>1網通+技鋼</v>
      </c>
    </row>
    <row r="1365" spans="1:8" x14ac:dyDescent="0.4">
      <c r="A1365" t="s">
        <v>41</v>
      </c>
      <c r="B1365">
        <v>2025</v>
      </c>
      <c r="C1365">
        <v>10</v>
      </c>
      <c r="D1365" t="s">
        <v>8</v>
      </c>
      <c r="E1365" t="s">
        <v>33</v>
      </c>
      <c r="F1365">
        <v>-2201</v>
      </c>
      <c r="G1365" s="3" t="s">
        <v>9</v>
      </c>
      <c r="H1365" t="str">
        <f>_xlfn.XLOOKUP(TRIM(D1365),對應!D:D,對應!E:E,"未對應")</f>
        <v>1網通+技鋼</v>
      </c>
    </row>
    <row r="1366" spans="1:8" x14ac:dyDescent="0.4">
      <c r="A1366" t="s">
        <v>41</v>
      </c>
      <c r="B1366">
        <v>2025</v>
      </c>
      <c r="C1366">
        <v>10</v>
      </c>
      <c r="D1366" t="s">
        <v>8</v>
      </c>
      <c r="E1366" t="s">
        <v>33</v>
      </c>
      <c r="F1366">
        <v>-95107352</v>
      </c>
      <c r="G1366" s="3" t="s">
        <v>9</v>
      </c>
      <c r="H1366" t="str">
        <f>_xlfn.XLOOKUP(TRIM(D1366),對應!D:D,對應!E:E,"未對應")</f>
        <v>1網通+技鋼</v>
      </c>
    </row>
    <row r="1367" spans="1:8" x14ac:dyDescent="0.4">
      <c r="A1367" t="s">
        <v>41</v>
      </c>
      <c r="B1367">
        <v>2025</v>
      </c>
      <c r="C1367">
        <v>10</v>
      </c>
      <c r="D1367" t="s">
        <v>8</v>
      </c>
      <c r="E1367" t="s">
        <v>33</v>
      </c>
      <c r="F1367">
        <v>-195457136</v>
      </c>
      <c r="G1367" s="3" t="s">
        <v>9</v>
      </c>
      <c r="H1367" t="str">
        <f>_xlfn.XLOOKUP(TRIM(D1367),對應!D:D,對應!E:E,"未對應")</f>
        <v>1網通+技鋼</v>
      </c>
    </row>
    <row r="1368" spans="1:8" x14ac:dyDescent="0.4">
      <c r="A1368" t="s">
        <v>41</v>
      </c>
      <c r="B1368">
        <v>2025</v>
      </c>
      <c r="C1368">
        <v>10</v>
      </c>
      <c r="D1368" t="s">
        <v>8</v>
      </c>
      <c r="E1368" t="s">
        <v>33</v>
      </c>
      <c r="F1368">
        <v>-128815</v>
      </c>
      <c r="G1368" s="3" t="s">
        <v>9</v>
      </c>
      <c r="H1368" t="str">
        <f>_xlfn.XLOOKUP(TRIM(D1368),對應!D:D,對應!E:E,"未對應")</f>
        <v>1網通+技鋼</v>
      </c>
    </row>
    <row r="1369" spans="1:8" x14ac:dyDescent="0.4">
      <c r="A1369" t="s">
        <v>41</v>
      </c>
      <c r="B1369">
        <v>2025</v>
      </c>
      <c r="C1369">
        <v>10</v>
      </c>
      <c r="D1369" t="s">
        <v>8</v>
      </c>
      <c r="E1369" t="s">
        <v>33</v>
      </c>
      <c r="F1369">
        <v>-50945000</v>
      </c>
      <c r="G1369" s="3" t="s">
        <v>9</v>
      </c>
      <c r="H1369" t="str">
        <f>_xlfn.XLOOKUP(TRIM(D1369),對應!D:D,對應!E:E,"未對應")</f>
        <v>1網通+技鋼</v>
      </c>
    </row>
    <row r="1370" spans="1:8" x14ac:dyDescent="0.4">
      <c r="A1370" t="s">
        <v>41</v>
      </c>
      <c r="B1370">
        <v>2025</v>
      </c>
      <c r="C1370">
        <v>10</v>
      </c>
      <c r="D1370" t="s">
        <v>17</v>
      </c>
      <c r="E1370" t="s">
        <v>18</v>
      </c>
      <c r="F1370">
        <v>-461358128</v>
      </c>
      <c r="G1370" s="3" t="s">
        <v>19</v>
      </c>
      <c r="H1370" t="str">
        <f>_xlfn.XLOOKUP(TRIM(D1370),對應!D:D,對應!E:E,"未對應")</f>
        <v>4筆電+盈嘉</v>
      </c>
    </row>
    <row r="1371" spans="1:8" x14ac:dyDescent="0.4">
      <c r="A1371" t="s">
        <v>41</v>
      </c>
      <c r="B1371">
        <v>2025</v>
      </c>
      <c r="C1371">
        <v>10</v>
      </c>
      <c r="D1371" t="s">
        <v>37</v>
      </c>
      <c r="E1371" t="s">
        <v>16</v>
      </c>
      <c r="F1371">
        <v>-20752</v>
      </c>
      <c r="G1371" s="3" t="s">
        <v>37</v>
      </c>
      <c r="H1371" t="str">
        <f>_xlfn.XLOOKUP(TRIM(D1371),對應!D:D,對應!E:E,"未對應")</f>
        <v>6雲城</v>
      </c>
    </row>
    <row r="1372" spans="1:8" x14ac:dyDescent="0.4">
      <c r="A1372" t="s">
        <v>41</v>
      </c>
      <c r="B1372">
        <v>2025</v>
      </c>
      <c r="C1372">
        <v>10</v>
      </c>
      <c r="D1372" t="s">
        <v>37</v>
      </c>
      <c r="E1372" t="s">
        <v>16</v>
      </c>
      <c r="F1372">
        <v>-8348</v>
      </c>
      <c r="G1372" s="3" t="s">
        <v>37</v>
      </c>
      <c r="H1372" t="str">
        <f>_xlfn.XLOOKUP(TRIM(D1372),對應!D:D,對應!E:E,"未對應")</f>
        <v>6雲城</v>
      </c>
    </row>
    <row r="1373" spans="1:8" x14ac:dyDescent="0.4">
      <c r="A1373" t="s">
        <v>45</v>
      </c>
      <c r="B1373">
        <v>2025</v>
      </c>
      <c r="C1373">
        <v>10</v>
      </c>
      <c r="D1373" t="s">
        <v>15</v>
      </c>
      <c r="E1373" t="s">
        <v>16</v>
      </c>
      <c r="F1373">
        <v>722438</v>
      </c>
      <c r="G1373" s="3" t="s">
        <v>16</v>
      </c>
      <c r="H1373" t="str">
        <f>_xlfn.XLOOKUP(TRIM(D1373),對應!D:D,對應!E:E,"未對應")</f>
        <v>7製造</v>
      </c>
    </row>
    <row r="1374" spans="1:8" x14ac:dyDescent="0.4">
      <c r="A1374" t="s">
        <v>43</v>
      </c>
      <c r="B1374">
        <v>2025</v>
      </c>
      <c r="C1374">
        <v>10</v>
      </c>
      <c r="D1374" t="s">
        <v>32</v>
      </c>
      <c r="E1374" t="s">
        <v>16</v>
      </c>
      <c r="F1374">
        <v>10083512</v>
      </c>
      <c r="G1374" s="3" t="s">
        <v>32</v>
      </c>
      <c r="H1374" t="str">
        <f>_xlfn.XLOOKUP(TRIM(D1374),對應!D:D,對應!E:E,"未對應")</f>
        <v>5百事益</v>
      </c>
    </row>
    <row r="1375" spans="1:8" x14ac:dyDescent="0.4">
      <c r="A1375" t="s">
        <v>43</v>
      </c>
      <c r="B1375">
        <v>2025</v>
      </c>
      <c r="C1375">
        <v>10</v>
      </c>
      <c r="D1375" t="s">
        <v>32</v>
      </c>
      <c r="E1375" t="s">
        <v>16</v>
      </c>
      <c r="F1375">
        <v>444932</v>
      </c>
      <c r="G1375" s="3" t="s">
        <v>32</v>
      </c>
      <c r="H1375" t="str">
        <f>_xlfn.XLOOKUP(TRIM(D1375),對應!D:D,對應!E:E,"未對應")</f>
        <v>5百事益</v>
      </c>
    </row>
    <row r="1376" spans="1:8" x14ac:dyDescent="0.4">
      <c r="A1376" t="s">
        <v>43</v>
      </c>
      <c r="B1376">
        <v>2025</v>
      </c>
      <c r="C1376">
        <v>10</v>
      </c>
      <c r="D1376" t="s">
        <v>10</v>
      </c>
      <c r="E1376" t="s">
        <v>24</v>
      </c>
      <c r="F1376">
        <v>753507437</v>
      </c>
      <c r="G1376" s="3" t="s">
        <v>14</v>
      </c>
      <c r="H1376" t="str">
        <f>_xlfn.XLOOKUP(TRIM(D1376),對應!D:D,對應!E:E,"未對應")</f>
        <v>3通路方案</v>
      </c>
    </row>
    <row r="1377" spans="1:8" x14ac:dyDescent="0.4">
      <c r="A1377" t="s">
        <v>43</v>
      </c>
      <c r="B1377">
        <v>2025</v>
      </c>
      <c r="C1377">
        <v>10</v>
      </c>
      <c r="D1377" t="s">
        <v>10</v>
      </c>
      <c r="E1377" t="s">
        <v>25</v>
      </c>
      <c r="F1377">
        <v>34877</v>
      </c>
      <c r="G1377" s="3" t="s">
        <v>14</v>
      </c>
      <c r="H1377" t="str">
        <f>_xlfn.XLOOKUP(TRIM(D1377),對應!D:D,對應!E:E,"未對應")</f>
        <v>3通路方案</v>
      </c>
    </row>
    <row r="1378" spans="1:8" x14ac:dyDescent="0.4">
      <c r="A1378" t="s">
        <v>43</v>
      </c>
      <c r="B1378">
        <v>2025</v>
      </c>
      <c r="C1378">
        <v>10</v>
      </c>
      <c r="D1378" t="s">
        <v>10</v>
      </c>
      <c r="E1378" t="s">
        <v>27</v>
      </c>
      <c r="F1378">
        <v>26106137</v>
      </c>
      <c r="G1378" s="3" t="s">
        <v>28</v>
      </c>
      <c r="H1378" t="str">
        <f>_xlfn.XLOOKUP(TRIM(D1378),對應!D:D,對應!E:E,"未對應")</f>
        <v>3通路方案</v>
      </c>
    </row>
    <row r="1379" spans="1:8" x14ac:dyDescent="0.4">
      <c r="A1379" t="s">
        <v>43</v>
      </c>
      <c r="B1379">
        <v>2025</v>
      </c>
      <c r="C1379">
        <v>10</v>
      </c>
      <c r="D1379" t="s">
        <v>10</v>
      </c>
      <c r="E1379" t="s">
        <v>16</v>
      </c>
      <c r="F1379">
        <v>642</v>
      </c>
      <c r="G1379" s="3" t="s">
        <v>16</v>
      </c>
      <c r="H1379" t="str">
        <f>_xlfn.XLOOKUP(TRIM(D1379),對應!D:D,對應!E:E,"未對應")</f>
        <v>3通路方案</v>
      </c>
    </row>
    <row r="1380" spans="1:8" x14ac:dyDescent="0.4">
      <c r="A1380" t="s">
        <v>43</v>
      </c>
      <c r="B1380">
        <v>2025</v>
      </c>
      <c r="C1380">
        <v>10</v>
      </c>
      <c r="D1380" t="s">
        <v>10</v>
      </c>
      <c r="E1380" t="s">
        <v>21</v>
      </c>
      <c r="F1380">
        <v>1669342777</v>
      </c>
      <c r="G1380" s="3" t="s">
        <v>22</v>
      </c>
      <c r="H1380" t="str">
        <f>_xlfn.XLOOKUP(TRIM(D1380),對應!D:D,對應!E:E,"未對應")</f>
        <v>3通路方案</v>
      </c>
    </row>
    <row r="1381" spans="1:8" x14ac:dyDescent="0.4">
      <c r="A1381" t="s">
        <v>43</v>
      </c>
      <c r="B1381">
        <v>2025</v>
      </c>
      <c r="C1381">
        <v>10</v>
      </c>
      <c r="D1381" t="s">
        <v>8</v>
      </c>
      <c r="E1381" t="s">
        <v>33</v>
      </c>
      <c r="F1381">
        <v>19764099</v>
      </c>
      <c r="G1381" s="3" t="s">
        <v>9</v>
      </c>
      <c r="H1381" t="str">
        <f>_xlfn.XLOOKUP(TRIM(D1381),對應!D:D,對應!E:E,"未對應")</f>
        <v>1網通+技鋼</v>
      </c>
    </row>
    <row r="1382" spans="1:8" x14ac:dyDescent="0.4">
      <c r="A1382" t="s">
        <v>43</v>
      </c>
      <c r="B1382">
        <v>2025</v>
      </c>
      <c r="C1382">
        <v>10</v>
      </c>
      <c r="D1382" t="s">
        <v>32</v>
      </c>
      <c r="E1382" t="s">
        <v>16</v>
      </c>
      <c r="F1382">
        <v>4086030</v>
      </c>
      <c r="G1382" s="3" t="s">
        <v>32</v>
      </c>
      <c r="H1382" t="str">
        <f>_xlfn.XLOOKUP(TRIM(D1382),對應!D:D,對應!E:E,"未對應")</f>
        <v>5百事益</v>
      </c>
    </row>
    <row r="1383" spans="1:8" x14ac:dyDescent="0.4">
      <c r="A1383" t="s">
        <v>43</v>
      </c>
      <c r="B1383">
        <v>2025</v>
      </c>
      <c r="C1383">
        <v>10</v>
      </c>
      <c r="D1383" t="s">
        <v>10</v>
      </c>
      <c r="E1383" t="s">
        <v>16</v>
      </c>
      <c r="F1383">
        <v>4179316</v>
      </c>
      <c r="G1383" s="3" t="s">
        <v>16</v>
      </c>
      <c r="H1383" t="str">
        <f>_xlfn.XLOOKUP(TRIM(D1383),對應!D:D,對應!E:E,"未對應")</f>
        <v>3通路方案</v>
      </c>
    </row>
    <row r="1384" spans="1:8" x14ac:dyDescent="0.4">
      <c r="A1384" t="s">
        <v>43</v>
      </c>
      <c r="B1384">
        <v>2025</v>
      </c>
      <c r="C1384">
        <v>10</v>
      </c>
      <c r="D1384" t="s">
        <v>32</v>
      </c>
      <c r="E1384" t="s">
        <v>16</v>
      </c>
      <c r="F1384">
        <v>17337460</v>
      </c>
      <c r="G1384" s="3" t="s">
        <v>32</v>
      </c>
      <c r="H1384" t="str">
        <f>_xlfn.XLOOKUP(TRIM(D1384),對應!D:D,對應!E:E,"未對應")</f>
        <v>5百事益</v>
      </c>
    </row>
    <row r="1385" spans="1:8" x14ac:dyDescent="0.4">
      <c r="A1385" t="s">
        <v>43</v>
      </c>
      <c r="B1385">
        <v>2025</v>
      </c>
      <c r="C1385">
        <v>10</v>
      </c>
      <c r="D1385" t="s">
        <v>17</v>
      </c>
      <c r="E1385" t="s">
        <v>18</v>
      </c>
      <c r="F1385">
        <v>323203342</v>
      </c>
      <c r="G1385" s="3" t="s">
        <v>19</v>
      </c>
      <c r="H1385" t="str">
        <f>_xlfn.XLOOKUP(TRIM(D1385),對應!D:D,對應!E:E,"未對應")</f>
        <v>4筆電+盈嘉</v>
      </c>
    </row>
    <row r="1386" spans="1:8" x14ac:dyDescent="0.4">
      <c r="A1386" t="s">
        <v>43</v>
      </c>
      <c r="B1386">
        <v>2025</v>
      </c>
      <c r="C1386">
        <v>10</v>
      </c>
      <c r="D1386" t="s">
        <v>10</v>
      </c>
      <c r="E1386" t="s">
        <v>24</v>
      </c>
      <c r="F1386">
        <v>639489626</v>
      </c>
      <c r="G1386" s="3" t="s">
        <v>14</v>
      </c>
      <c r="H1386" t="str">
        <f>_xlfn.XLOOKUP(TRIM(D1386),對應!D:D,對應!E:E,"未對應")</f>
        <v>3通路方案</v>
      </c>
    </row>
    <row r="1387" spans="1:8" x14ac:dyDescent="0.4">
      <c r="A1387" t="s">
        <v>43</v>
      </c>
      <c r="B1387">
        <v>2025</v>
      </c>
      <c r="C1387">
        <v>10</v>
      </c>
      <c r="D1387" t="s">
        <v>10</v>
      </c>
      <c r="E1387" t="s">
        <v>30</v>
      </c>
      <c r="F1387">
        <v>193744</v>
      </c>
      <c r="G1387" s="3" t="s">
        <v>12</v>
      </c>
      <c r="H1387" t="str">
        <f>_xlfn.XLOOKUP(TRIM(D1387),對應!D:D,對應!E:E,"未對應")</f>
        <v>3通路方案</v>
      </c>
    </row>
    <row r="1388" spans="1:8" x14ac:dyDescent="0.4">
      <c r="A1388" t="s">
        <v>43</v>
      </c>
      <c r="B1388">
        <v>2025</v>
      </c>
      <c r="C1388">
        <v>10</v>
      </c>
      <c r="D1388" t="s">
        <v>10</v>
      </c>
      <c r="E1388" t="s">
        <v>25</v>
      </c>
      <c r="F1388">
        <v>8917</v>
      </c>
      <c r="G1388" s="3" t="s">
        <v>14</v>
      </c>
      <c r="H1388" t="str">
        <f>_xlfn.XLOOKUP(TRIM(D1388),對應!D:D,對應!E:E,"未對應")</f>
        <v>3通路方案</v>
      </c>
    </row>
    <row r="1389" spans="1:8" x14ac:dyDescent="0.4">
      <c r="A1389" t="s">
        <v>43</v>
      </c>
      <c r="B1389">
        <v>2025</v>
      </c>
      <c r="C1389">
        <v>10</v>
      </c>
      <c r="D1389" t="s">
        <v>10</v>
      </c>
      <c r="E1389" t="s">
        <v>27</v>
      </c>
      <c r="F1389">
        <v>67154587</v>
      </c>
      <c r="G1389" s="3" t="s">
        <v>28</v>
      </c>
      <c r="H1389" t="str">
        <f>_xlfn.XLOOKUP(TRIM(D1389),對應!D:D,對應!E:E,"未對應")</f>
        <v>3通路方案</v>
      </c>
    </row>
    <row r="1390" spans="1:8" x14ac:dyDescent="0.4">
      <c r="A1390" t="s">
        <v>43</v>
      </c>
      <c r="B1390">
        <v>2025</v>
      </c>
      <c r="C1390">
        <v>10</v>
      </c>
      <c r="D1390" t="s">
        <v>10</v>
      </c>
      <c r="E1390" t="s">
        <v>11</v>
      </c>
      <c r="F1390">
        <v>7693817</v>
      </c>
      <c r="G1390" s="3" t="s">
        <v>12</v>
      </c>
      <c r="H1390" t="str">
        <f>_xlfn.XLOOKUP(TRIM(D1390),對應!D:D,對應!E:E,"未對應")</f>
        <v>3通路方案</v>
      </c>
    </row>
    <row r="1391" spans="1:8" x14ac:dyDescent="0.4">
      <c r="A1391" t="s">
        <v>23</v>
      </c>
      <c r="B1391">
        <v>2025</v>
      </c>
      <c r="C1391">
        <v>10</v>
      </c>
      <c r="D1391" t="s">
        <v>10</v>
      </c>
      <c r="E1391" t="s">
        <v>26</v>
      </c>
      <c r="F1391">
        <v>2695635</v>
      </c>
      <c r="G1391" s="3" t="s">
        <v>14</v>
      </c>
      <c r="H1391" t="str">
        <f>_xlfn.XLOOKUP(TRIM(D1391),對應!D:D,對應!E:E,"未對應")</f>
        <v>3通路方案</v>
      </c>
    </row>
    <row r="1392" spans="1:8" x14ac:dyDescent="0.4">
      <c r="A1392" t="s">
        <v>23</v>
      </c>
      <c r="B1392">
        <v>2025</v>
      </c>
      <c r="C1392">
        <v>10</v>
      </c>
      <c r="D1392" t="s">
        <v>10</v>
      </c>
      <c r="E1392" t="s">
        <v>21</v>
      </c>
      <c r="F1392">
        <v>-1373694028</v>
      </c>
      <c r="G1392" s="3" t="s">
        <v>22</v>
      </c>
      <c r="H1392" t="str">
        <f>_xlfn.XLOOKUP(TRIM(D1392),對應!D:D,對應!E:E,"未對應")</f>
        <v>3通路方案</v>
      </c>
    </row>
    <row r="1393" spans="1:8" x14ac:dyDescent="0.4">
      <c r="A1393" t="s">
        <v>23</v>
      </c>
      <c r="B1393">
        <v>2025</v>
      </c>
      <c r="C1393">
        <v>10</v>
      </c>
      <c r="D1393" t="s">
        <v>17</v>
      </c>
      <c r="E1393" t="s">
        <v>18</v>
      </c>
      <c r="F1393">
        <v>-8919408</v>
      </c>
      <c r="G1393" s="3" t="s">
        <v>19</v>
      </c>
      <c r="H1393" t="str">
        <f>_xlfn.XLOOKUP(TRIM(D1393),對應!D:D,對應!E:E,"未對應")</f>
        <v>4筆電+盈嘉</v>
      </c>
    </row>
    <row r="1394" spans="1:8" x14ac:dyDescent="0.4">
      <c r="A1394" t="s">
        <v>23</v>
      </c>
      <c r="B1394">
        <v>2025</v>
      </c>
      <c r="C1394">
        <v>10</v>
      </c>
      <c r="D1394" t="s">
        <v>10</v>
      </c>
      <c r="E1394" t="s">
        <v>24</v>
      </c>
      <c r="F1394">
        <v>-23597510</v>
      </c>
      <c r="G1394" s="3" t="s">
        <v>14</v>
      </c>
      <c r="H1394" t="str">
        <f>_xlfn.XLOOKUP(TRIM(D1394),對應!D:D,對應!E:E,"未對應")</f>
        <v>3通路方案</v>
      </c>
    </row>
    <row r="1395" spans="1:8" x14ac:dyDescent="0.4">
      <c r="A1395" t="s">
        <v>23</v>
      </c>
      <c r="B1395">
        <v>2025</v>
      </c>
      <c r="C1395">
        <v>10</v>
      </c>
      <c r="D1395" t="s">
        <v>10</v>
      </c>
      <c r="E1395" t="s">
        <v>29</v>
      </c>
      <c r="F1395">
        <v>-194469</v>
      </c>
      <c r="G1395" s="3" t="s">
        <v>12</v>
      </c>
      <c r="H1395" t="str">
        <f>_xlfn.XLOOKUP(TRIM(D1395),對應!D:D,對應!E:E,"未對應")</f>
        <v>3通路方案</v>
      </c>
    </row>
    <row r="1396" spans="1:8" x14ac:dyDescent="0.4">
      <c r="A1396" t="s">
        <v>23</v>
      </c>
      <c r="B1396">
        <v>2025</v>
      </c>
      <c r="C1396">
        <v>10</v>
      </c>
      <c r="D1396" t="s">
        <v>10</v>
      </c>
      <c r="E1396" t="s">
        <v>30</v>
      </c>
      <c r="F1396">
        <v>-78814</v>
      </c>
      <c r="G1396" s="3" t="s">
        <v>12</v>
      </c>
      <c r="H1396" t="str">
        <f>_xlfn.XLOOKUP(TRIM(D1396),對應!D:D,對應!E:E,"未對應")</f>
        <v>3通路方案</v>
      </c>
    </row>
    <row r="1397" spans="1:8" x14ac:dyDescent="0.4">
      <c r="A1397" t="s">
        <v>23</v>
      </c>
      <c r="B1397">
        <v>2025</v>
      </c>
      <c r="C1397">
        <v>10</v>
      </c>
      <c r="D1397" t="s">
        <v>10</v>
      </c>
      <c r="E1397" t="s">
        <v>20</v>
      </c>
      <c r="F1397">
        <v>-321233</v>
      </c>
      <c r="G1397" s="3" t="s">
        <v>12</v>
      </c>
      <c r="H1397" t="str">
        <f>_xlfn.XLOOKUP(TRIM(D1397),對應!D:D,對應!E:E,"未對應")</f>
        <v>3通路方案</v>
      </c>
    </row>
    <row r="1398" spans="1:8" x14ac:dyDescent="0.4">
      <c r="A1398" t="s">
        <v>23</v>
      </c>
      <c r="B1398">
        <v>2025</v>
      </c>
      <c r="C1398">
        <v>10</v>
      </c>
      <c r="D1398" t="s">
        <v>10</v>
      </c>
      <c r="E1398" t="s">
        <v>27</v>
      </c>
      <c r="F1398">
        <v>-5305842</v>
      </c>
      <c r="G1398" s="3" t="s">
        <v>28</v>
      </c>
      <c r="H1398" t="str">
        <f>_xlfn.XLOOKUP(TRIM(D1398),對應!D:D,對應!E:E,"未對應")</f>
        <v>3通路方案</v>
      </c>
    </row>
    <row r="1399" spans="1:8" x14ac:dyDescent="0.4">
      <c r="A1399" t="s">
        <v>23</v>
      </c>
      <c r="B1399">
        <v>2025</v>
      </c>
      <c r="C1399">
        <v>10</v>
      </c>
      <c r="D1399" t="s">
        <v>10</v>
      </c>
      <c r="E1399" t="s">
        <v>16</v>
      </c>
      <c r="F1399">
        <v>-242</v>
      </c>
      <c r="G1399" s="3" t="s">
        <v>16</v>
      </c>
      <c r="H1399" t="str">
        <f>_xlfn.XLOOKUP(TRIM(D1399),對應!D:D,對應!E:E,"未對應")</f>
        <v>3通路方案</v>
      </c>
    </row>
    <row r="1400" spans="1:8" x14ac:dyDescent="0.4">
      <c r="A1400" t="s">
        <v>23</v>
      </c>
      <c r="B1400">
        <v>2025</v>
      </c>
      <c r="C1400">
        <v>10</v>
      </c>
      <c r="D1400" t="s">
        <v>10</v>
      </c>
      <c r="E1400" t="s">
        <v>11</v>
      </c>
      <c r="F1400">
        <v>-444357</v>
      </c>
      <c r="G1400" s="3" t="s">
        <v>12</v>
      </c>
      <c r="H1400" t="str">
        <f>_xlfn.XLOOKUP(TRIM(D1400),對應!D:D,對應!E:E,"未對應")</f>
        <v>3通路方案</v>
      </c>
    </row>
    <row r="1401" spans="1:8" x14ac:dyDescent="0.4">
      <c r="A1401" t="s">
        <v>23</v>
      </c>
      <c r="B1401">
        <v>2025</v>
      </c>
      <c r="C1401">
        <v>10</v>
      </c>
      <c r="D1401" t="s">
        <v>10</v>
      </c>
      <c r="E1401" t="s">
        <v>26</v>
      </c>
      <c r="F1401">
        <v>-126847</v>
      </c>
      <c r="G1401" s="3" t="s">
        <v>14</v>
      </c>
      <c r="H1401" t="str">
        <f>_xlfn.XLOOKUP(TRIM(D1401),對應!D:D,對應!E:E,"未對應")</f>
        <v>3通路方案</v>
      </c>
    </row>
    <row r="1402" spans="1:8" x14ac:dyDescent="0.4">
      <c r="A1402" t="s">
        <v>23</v>
      </c>
      <c r="B1402">
        <v>2025</v>
      </c>
      <c r="C1402">
        <v>10</v>
      </c>
      <c r="D1402" t="s">
        <v>10</v>
      </c>
      <c r="E1402" t="s">
        <v>21</v>
      </c>
      <c r="F1402">
        <v>-64866638</v>
      </c>
      <c r="G1402" s="3" t="s">
        <v>22</v>
      </c>
      <c r="H1402" t="str">
        <f>_xlfn.XLOOKUP(TRIM(D1402),對應!D:D,對應!E:E,"未對應")</f>
        <v>3通路方案</v>
      </c>
    </row>
    <row r="1403" spans="1:8" x14ac:dyDescent="0.4">
      <c r="A1403" t="s">
        <v>23</v>
      </c>
      <c r="B1403">
        <v>2025</v>
      </c>
      <c r="C1403">
        <v>10</v>
      </c>
      <c r="D1403" t="s">
        <v>15</v>
      </c>
      <c r="E1403" t="s">
        <v>16</v>
      </c>
      <c r="F1403">
        <v>-2172328</v>
      </c>
      <c r="G1403" s="3" t="s">
        <v>16</v>
      </c>
      <c r="H1403" t="str">
        <f>_xlfn.XLOOKUP(TRIM(D1403),對應!D:D,對應!E:E,"未對應")</f>
        <v>7製造</v>
      </c>
    </row>
    <row r="1404" spans="1:8" x14ac:dyDescent="0.4">
      <c r="A1404" t="s">
        <v>23</v>
      </c>
      <c r="B1404">
        <v>2025</v>
      </c>
      <c r="C1404">
        <v>10</v>
      </c>
      <c r="D1404" t="s">
        <v>10</v>
      </c>
      <c r="E1404" t="s">
        <v>16</v>
      </c>
      <c r="F1404">
        <v>-3494801</v>
      </c>
      <c r="G1404" s="3" t="s">
        <v>16</v>
      </c>
      <c r="H1404" t="str">
        <f>_xlfn.XLOOKUP(TRIM(D1404),對應!D:D,對應!E:E,"未對應")</f>
        <v>3通路方案</v>
      </c>
    </row>
    <row r="1405" spans="1:8" x14ac:dyDescent="0.4">
      <c r="A1405" t="s">
        <v>23</v>
      </c>
      <c r="B1405">
        <v>2025</v>
      </c>
      <c r="C1405">
        <v>10</v>
      </c>
      <c r="D1405" t="s">
        <v>15</v>
      </c>
      <c r="E1405" t="s">
        <v>16</v>
      </c>
      <c r="F1405">
        <v>-319490</v>
      </c>
      <c r="G1405" s="3" t="s">
        <v>16</v>
      </c>
      <c r="H1405" t="str">
        <f>_xlfn.XLOOKUP(TRIM(D1405),對應!D:D,對應!E:E,"未對應")</f>
        <v>7製造</v>
      </c>
    </row>
    <row r="1406" spans="1:8" x14ac:dyDescent="0.4">
      <c r="A1406" t="s">
        <v>44</v>
      </c>
      <c r="B1406">
        <v>2025</v>
      </c>
      <c r="C1406">
        <v>10</v>
      </c>
      <c r="D1406" t="s">
        <v>32</v>
      </c>
      <c r="F1406">
        <v>2292945</v>
      </c>
      <c r="G1406" s="3" t="s">
        <v>32</v>
      </c>
      <c r="H1406" t="str">
        <f>_xlfn.XLOOKUP(TRIM(D1406),對應!D:D,對應!E:E,"未對應")</f>
        <v>5百事益</v>
      </c>
    </row>
    <row r="1407" spans="1:8" x14ac:dyDescent="0.4">
      <c r="A1407" t="s">
        <v>44</v>
      </c>
      <c r="B1407">
        <v>2025</v>
      </c>
      <c r="C1407">
        <v>10</v>
      </c>
      <c r="D1407" t="s">
        <v>32</v>
      </c>
      <c r="F1407">
        <v>17912910</v>
      </c>
      <c r="G1407" s="3" t="s">
        <v>32</v>
      </c>
      <c r="H1407" t="str">
        <f>_xlfn.XLOOKUP(TRIM(D1407),對應!D:D,對應!E:E,"未對應")</f>
        <v>5百事益</v>
      </c>
    </row>
    <row r="1408" spans="1:8" x14ac:dyDescent="0.4">
      <c r="A1408" t="s">
        <v>31</v>
      </c>
      <c r="B1408">
        <v>2025</v>
      </c>
      <c r="C1408">
        <v>10</v>
      </c>
      <c r="D1408" t="s">
        <v>32</v>
      </c>
      <c r="E1408" t="s">
        <v>16</v>
      </c>
      <c r="F1408">
        <v>-1448468</v>
      </c>
      <c r="G1408" s="3" t="s">
        <v>32</v>
      </c>
      <c r="H1408" t="str">
        <f>_xlfn.XLOOKUP(TRIM(D1408),對應!D:D,對應!E:E,"未對應")</f>
        <v>5百事益</v>
      </c>
    </row>
    <row r="1409" spans="1:8" x14ac:dyDescent="0.4">
      <c r="A1409" t="s">
        <v>31</v>
      </c>
      <c r="B1409">
        <v>2025</v>
      </c>
      <c r="C1409">
        <v>10</v>
      </c>
      <c r="D1409" t="s">
        <v>32</v>
      </c>
      <c r="E1409" t="s">
        <v>16</v>
      </c>
      <c r="F1409">
        <v>-2999570</v>
      </c>
      <c r="G1409" s="3" t="s">
        <v>32</v>
      </c>
      <c r="H1409" t="str">
        <f>_xlfn.XLOOKUP(TRIM(D1409),對應!D:D,對應!E:E,"未對應")</f>
        <v>5百事益</v>
      </c>
    </row>
    <row r="1410" spans="1:8" x14ac:dyDescent="0.4">
      <c r="A1410" t="s">
        <v>31</v>
      </c>
      <c r="B1410">
        <v>2025</v>
      </c>
      <c r="C1410">
        <v>10</v>
      </c>
      <c r="D1410" t="s">
        <v>32</v>
      </c>
      <c r="E1410" t="s">
        <v>16</v>
      </c>
      <c r="F1410">
        <v>-444932</v>
      </c>
      <c r="G1410" s="3" t="s">
        <v>32</v>
      </c>
      <c r="H1410" t="str">
        <f>_xlfn.XLOOKUP(TRIM(D1410),對應!D:D,對應!E:E,"未對應")</f>
        <v>5百事益</v>
      </c>
    </row>
    <row r="1411" spans="1:8" x14ac:dyDescent="0.4">
      <c r="A1411" t="s">
        <v>31</v>
      </c>
      <c r="B1411">
        <v>2025</v>
      </c>
      <c r="C1411">
        <v>10</v>
      </c>
      <c r="D1411" t="s">
        <v>10</v>
      </c>
      <c r="E1411" t="s">
        <v>24</v>
      </c>
      <c r="F1411">
        <v>-1615533</v>
      </c>
      <c r="G1411" s="3" t="s">
        <v>14</v>
      </c>
      <c r="H1411" t="str">
        <f>_xlfn.XLOOKUP(TRIM(D1411),對應!D:D,對應!E:E,"未對應")</f>
        <v>3通路方案</v>
      </c>
    </row>
    <row r="1412" spans="1:8" x14ac:dyDescent="0.4">
      <c r="A1412" t="s">
        <v>31</v>
      </c>
      <c r="B1412">
        <v>2025</v>
      </c>
      <c r="C1412">
        <v>10</v>
      </c>
      <c r="D1412" t="s">
        <v>10</v>
      </c>
      <c r="E1412" t="s">
        <v>21</v>
      </c>
      <c r="F1412">
        <v>-5346708</v>
      </c>
      <c r="G1412" s="3" t="s">
        <v>22</v>
      </c>
      <c r="H1412" t="str">
        <f>_xlfn.XLOOKUP(TRIM(D1412),對應!D:D,對應!E:E,"未對應")</f>
        <v>3通路方案</v>
      </c>
    </row>
    <row r="1413" spans="1:8" x14ac:dyDescent="0.4">
      <c r="A1413" t="s">
        <v>43</v>
      </c>
      <c r="B1413">
        <v>2025</v>
      </c>
      <c r="C1413">
        <v>11</v>
      </c>
      <c r="D1413" t="s">
        <v>10</v>
      </c>
      <c r="E1413" t="s">
        <v>25</v>
      </c>
      <c r="F1413">
        <v>165834</v>
      </c>
      <c r="G1413" s="3" t="s">
        <v>14</v>
      </c>
      <c r="H1413" t="str">
        <f>_xlfn.XLOOKUP(TRIM(D1413),對應!D:D,對應!E:E,"未對應")</f>
        <v>3通路方案</v>
      </c>
    </row>
    <row r="1414" spans="1:8" x14ac:dyDescent="0.4">
      <c r="A1414" t="s">
        <v>43</v>
      </c>
      <c r="B1414">
        <v>2025</v>
      </c>
      <c r="C1414">
        <v>11</v>
      </c>
      <c r="D1414" t="s">
        <v>10</v>
      </c>
      <c r="E1414" t="s">
        <v>27</v>
      </c>
      <c r="F1414">
        <v>27394662</v>
      </c>
      <c r="G1414" s="3" t="s">
        <v>28</v>
      </c>
      <c r="H1414" t="str">
        <f>_xlfn.XLOOKUP(TRIM(D1414),對應!D:D,對應!E:E,"未對應")</f>
        <v>3通路方案</v>
      </c>
    </row>
    <row r="1415" spans="1:8" x14ac:dyDescent="0.4">
      <c r="A1415" t="s">
        <v>43</v>
      </c>
      <c r="B1415">
        <v>2025</v>
      </c>
      <c r="C1415">
        <v>11</v>
      </c>
      <c r="D1415" t="s">
        <v>10</v>
      </c>
      <c r="E1415" t="s">
        <v>11</v>
      </c>
      <c r="F1415">
        <v>3473335</v>
      </c>
      <c r="G1415" s="3" t="s">
        <v>12</v>
      </c>
      <c r="H1415" t="str">
        <f>_xlfn.XLOOKUP(TRIM(D1415),對應!D:D,對應!E:E,"未對應")</f>
        <v>3通路方案</v>
      </c>
    </row>
    <row r="1416" spans="1:8" x14ac:dyDescent="0.4">
      <c r="A1416" t="s">
        <v>43</v>
      </c>
      <c r="B1416">
        <v>2025</v>
      </c>
      <c r="C1416">
        <v>11</v>
      </c>
      <c r="D1416" t="s">
        <v>10</v>
      </c>
      <c r="E1416" t="s">
        <v>26</v>
      </c>
      <c r="F1416">
        <v>1880730</v>
      </c>
      <c r="G1416" s="3" t="s">
        <v>14</v>
      </c>
      <c r="H1416" t="str">
        <f>_xlfn.XLOOKUP(TRIM(D1416),對應!D:D,對應!E:E,"未對應")</f>
        <v>3通路方案</v>
      </c>
    </row>
    <row r="1417" spans="1:8" x14ac:dyDescent="0.4">
      <c r="A1417" t="s">
        <v>43</v>
      </c>
      <c r="B1417">
        <v>2025</v>
      </c>
      <c r="C1417">
        <v>11</v>
      </c>
      <c r="D1417" t="s">
        <v>10</v>
      </c>
      <c r="E1417" t="s">
        <v>21</v>
      </c>
      <c r="F1417">
        <v>1658620685</v>
      </c>
      <c r="G1417" s="3" t="s">
        <v>22</v>
      </c>
      <c r="H1417" t="str">
        <f>_xlfn.XLOOKUP(TRIM(D1417),對應!D:D,對應!E:E,"未對應")</f>
        <v>3通路方案</v>
      </c>
    </row>
    <row r="1418" spans="1:8" x14ac:dyDescent="0.4">
      <c r="A1418" t="s">
        <v>43</v>
      </c>
      <c r="B1418">
        <v>2025</v>
      </c>
      <c r="C1418">
        <v>11</v>
      </c>
      <c r="D1418" t="s">
        <v>10</v>
      </c>
      <c r="E1418" t="s">
        <v>16</v>
      </c>
      <c r="F1418">
        <v>58303647</v>
      </c>
      <c r="G1418" s="3" t="s">
        <v>16</v>
      </c>
      <c r="H1418" t="str">
        <f>_xlfn.XLOOKUP(TRIM(D1418),對應!D:D,對應!E:E,"未對應")</f>
        <v>3通路方案</v>
      </c>
    </row>
    <row r="1419" spans="1:8" x14ac:dyDescent="0.4">
      <c r="A1419" t="s">
        <v>43</v>
      </c>
      <c r="B1419">
        <v>2025</v>
      </c>
      <c r="C1419">
        <v>11</v>
      </c>
      <c r="D1419" t="s">
        <v>8</v>
      </c>
      <c r="E1419" t="s">
        <v>33</v>
      </c>
      <c r="F1419">
        <v>-901159</v>
      </c>
      <c r="G1419" s="3" t="s">
        <v>9</v>
      </c>
      <c r="H1419" t="str">
        <f>_xlfn.XLOOKUP(TRIM(D1419),對應!D:D,對應!E:E,"未對應")</f>
        <v>1網通+技鋼</v>
      </c>
    </row>
    <row r="1420" spans="1:8" x14ac:dyDescent="0.4">
      <c r="A1420" t="s">
        <v>43</v>
      </c>
      <c r="B1420">
        <v>2025</v>
      </c>
      <c r="C1420">
        <v>11</v>
      </c>
      <c r="D1420" t="s">
        <v>8</v>
      </c>
      <c r="E1420" t="s">
        <v>33</v>
      </c>
      <c r="F1420">
        <v>34863</v>
      </c>
      <c r="G1420" s="3" t="s">
        <v>9</v>
      </c>
      <c r="H1420" t="str">
        <f>_xlfn.XLOOKUP(TRIM(D1420),對應!D:D,對應!E:E,"未對應")</f>
        <v>1網通+技鋼</v>
      </c>
    </row>
    <row r="1421" spans="1:8" x14ac:dyDescent="0.4">
      <c r="A1421" t="s">
        <v>43</v>
      </c>
      <c r="B1421">
        <v>2025</v>
      </c>
      <c r="C1421">
        <v>11</v>
      </c>
      <c r="D1421" t="s">
        <v>8</v>
      </c>
      <c r="E1421" t="s">
        <v>33</v>
      </c>
      <c r="F1421">
        <v>-75</v>
      </c>
      <c r="G1421" s="3" t="s">
        <v>9</v>
      </c>
      <c r="H1421" t="str">
        <f>_xlfn.XLOOKUP(TRIM(D1421),對應!D:D,對應!E:E,"未對應")</f>
        <v>1網通+技鋼</v>
      </c>
    </row>
    <row r="1422" spans="1:8" x14ac:dyDescent="0.4">
      <c r="A1422" t="s">
        <v>43</v>
      </c>
      <c r="B1422">
        <v>2025</v>
      </c>
      <c r="C1422">
        <v>11</v>
      </c>
      <c r="D1422" t="s">
        <v>8</v>
      </c>
      <c r="E1422" t="s">
        <v>33</v>
      </c>
      <c r="F1422">
        <v>200540</v>
      </c>
      <c r="G1422" s="3" t="s">
        <v>9</v>
      </c>
      <c r="H1422" t="str">
        <f>_xlfn.XLOOKUP(TRIM(D1422),對應!D:D,對應!E:E,"未對應")</f>
        <v>1網通+技鋼</v>
      </c>
    </row>
    <row r="1423" spans="1:8" x14ac:dyDescent="0.4">
      <c r="A1423" t="s">
        <v>43</v>
      </c>
      <c r="B1423">
        <v>2025</v>
      </c>
      <c r="C1423">
        <v>11</v>
      </c>
      <c r="D1423" t="s">
        <v>8</v>
      </c>
      <c r="E1423" t="s">
        <v>33</v>
      </c>
      <c r="F1423">
        <v>134346467</v>
      </c>
      <c r="G1423" s="3" t="s">
        <v>9</v>
      </c>
      <c r="H1423" t="str">
        <f>_xlfn.XLOOKUP(TRIM(D1423),對應!D:D,對應!E:E,"未對應")</f>
        <v>1網通+技鋼</v>
      </c>
    </row>
    <row r="1424" spans="1:8" x14ac:dyDescent="0.4">
      <c r="A1424" t="s">
        <v>43</v>
      </c>
      <c r="B1424">
        <v>2025</v>
      </c>
      <c r="C1424">
        <v>11</v>
      </c>
      <c r="D1424" t="s">
        <v>10</v>
      </c>
      <c r="E1424" t="s">
        <v>26</v>
      </c>
      <c r="F1424">
        <v>7426038</v>
      </c>
      <c r="G1424" s="3" t="s">
        <v>14</v>
      </c>
      <c r="H1424" t="str">
        <f>_xlfn.XLOOKUP(TRIM(D1424),對應!D:D,對應!E:E,"未對應")</f>
        <v>3通路方案</v>
      </c>
    </row>
    <row r="1425" spans="1:8" x14ac:dyDescent="0.4">
      <c r="A1425" t="s">
        <v>43</v>
      </c>
      <c r="B1425">
        <v>2025</v>
      </c>
      <c r="C1425">
        <v>11</v>
      </c>
      <c r="D1425" t="s">
        <v>32</v>
      </c>
      <c r="E1425" t="s">
        <v>16</v>
      </c>
      <c r="F1425">
        <v>7386973</v>
      </c>
      <c r="G1425" s="3" t="s">
        <v>32</v>
      </c>
      <c r="H1425" t="str">
        <f>_xlfn.XLOOKUP(TRIM(D1425),對應!D:D,對應!E:E,"未對應")</f>
        <v>5百事益</v>
      </c>
    </row>
    <row r="1426" spans="1:8" x14ac:dyDescent="0.4">
      <c r="A1426" t="s">
        <v>43</v>
      </c>
      <c r="B1426">
        <v>2025</v>
      </c>
      <c r="C1426">
        <v>11</v>
      </c>
      <c r="D1426" t="s">
        <v>17</v>
      </c>
      <c r="E1426" t="s">
        <v>18</v>
      </c>
      <c r="F1426">
        <v>13640369</v>
      </c>
      <c r="G1426" s="3" t="s">
        <v>19</v>
      </c>
      <c r="H1426" t="str">
        <f>_xlfn.XLOOKUP(TRIM(D1426),對應!D:D,對應!E:E,"未對應")</f>
        <v>4筆電+盈嘉</v>
      </c>
    </row>
    <row r="1427" spans="1:8" x14ac:dyDescent="0.4">
      <c r="A1427" t="s">
        <v>43</v>
      </c>
      <c r="B1427">
        <v>2025</v>
      </c>
      <c r="C1427">
        <v>11</v>
      </c>
      <c r="D1427" t="s">
        <v>10</v>
      </c>
      <c r="E1427" t="s">
        <v>24</v>
      </c>
      <c r="F1427">
        <v>30543803</v>
      </c>
      <c r="G1427" s="3" t="s">
        <v>14</v>
      </c>
      <c r="H1427" t="str">
        <f>_xlfn.XLOOKUP(TRIM(D1427),對應!D:D,對應!E:E,"未對應")</f>
        <v>3通路方案</v>
      </c>
    </row>
    <row r="1428" spans="1:8" x14ac:dyDescent="0.4">
      <c r="A1428" t="s">
        <v>43</v>
      </c>
      <c r="B1428">
        <v>2025</v>
      </c>
      <c r="C1428">
        <v>11</v>
      </c>
      <c r="D1428" t="s">
        <v>10</v>
      </c>
      <c r="E1428" t="s">
        <v>30</v>
      </c>
      <c r="F1428">
        <v>148246</v>
      </c>
      <c r="G1428" s="3" t="s">
        <v>12</v>
      </c>
      <c r="H1428" t="str">
        <f>_xlfn.XLOOKUP(TRIM(D1428),對應!D:D,對應!E:E,"未對應")</f>
        <v>3通路方案</v>
      </c>
    </row>
    <row r="1429" spans="1:8" x14ac:dyDescent="0.4">
      <c r="A1429" t="s">
        <v>43</v>
      </c>
      <c r="B1429">
        <v>2025</v>
      </c>
      <c r="C1429">
        <v>11</v>
      </c>
      <c r="D1429" t="s">
        <v>10</v>
      </c>
      <c r="E1429" t="s">
        <v>25</v>
      </c>
      <c r="F1429">
        <v>10679</v>
      </c>
      <c r="G1429" s="3" t="s">
        <v>14</v>
      </c>
      <c r="H1429" t="str">
        <f>_xlfn.XLOOKUP(TRIM(D1429),對應!D:D,對應!E:E,"未對應")</f>
        <v>3通路方案</v>
      </c>
    </row>
    <row r="1430" spans="1:8" x14ac:dyDescent="0.4">
      <c r="A1430" t="s">
        <v>43</v>
      </c>
      <c r="B1430">
        <v>2025</v>
      </c>
      <c r="C1430">
        <v>11</v>
      </c>
      <c r="D1430" t="s">
        <v>10</v>
      </c>
      <c r="E1430" t="s">
        <v>27</v>
      </c>
      <c r="F1430">
        <v>12351601</v>
      </c>
      <c r="G1430" s="3" t="s">
        <v>28</v>
      </c>
      <c r="H1430" t="str">
        <f>_xlfn.XLOOKUP(TRIM(D1430),對應!D:D,對應!E:E,"未對應")</f>
        <v>3通路方案</v>
      </c>
    </row>
    <row r="1431" spans="1:8" x14ac:dyDescent="0.4">
      <c r="A1431" t="s">
        <v>43</v>
      </c>
      <c r="B1431">
        <v>2025</v>
      </c>
      <c r="C1431">
        <v>11</v>
      </c>
      <c r="D1431" t="s">
        <v>10</v>
      </c>
      <c r="E1431" t="s">
        <v>16</v>
      </c>
      <c r="F1431">
        <v>390150</v>
      </c>
      <c r="G1431" s="3" t="s">
        <v>16</v>
      </c>
      <c r="H1431" t="str">
        <f>_xlfn.XLOOKUP(TRIM(D1431),對應!D:D,對應!E:E,"未對應")</f>
        <v>3通路方案</v>
      </c>
    </row>
    <row r="1432" spans="1:8" x14ac:dyDescent="0.4">
      <c r="A1432" t="s">
        <v>43</v>
      </c>
      <c r="B1432">
        <v>2025</v>
      </c>
      <c r="C1432">
        <v>11</v>
      </c>
      <c r="D1432" t="s">
        <v>10</v>
      </c>
      <c r="E1432" t="s">
        <v>11</v>
      </c>
      <c r="F1432">
        <v>1644543</v>
      </c>
      <c r="G1432" s="3" t="s">
        <v>12</v>
      </c>
      <c r="H1432" t="str">
        <f>_xlfn.XLOOKUP(TRIM(D1432),對應!D:D,對應!E:E,"未對應")</f>
        <v>3通路方案</v>
      </c>
    </row>
    <row r="1433" spans="1:8" x14ac:dyDescent="0.4">
      <c r="A1433" t="s">
        <v>43</v>
      </c>
      <c r="B1433">
        <v>2025</v>
      </c>
      <c r="C1433">
        <v>11</v>
      </c>
      <c r="D1433" t="s">
        <v>10</v>
      </c>
      <c r="E1433" t="s">
        <v>26</v>
      </c>
      <c r="F1433">
        <v>325544</v>
      </c>
      <c r="G1433" s="3" t="s">
        <v>14</v>
      </c>
      <c r="H1433" t="str">
        <f>_xlfn.XLOOKUP(TRIM(D1433),對應!D:D,對應!E:E,"未對應")</f>
        <v>3通路方案</v>
      </c>
    </row>
    <row r="1434" spans="1:8" x14ac:dyDescent="0.4">
      <c r="A1434" t="s">
        <v>43</v>
      </c>
      <c r="B1434">
        <v>2025</v>
      </c>
      <c r="C1434">
        <v>11</v>
      </c>
      <c r="D1434" t="s">
        <v>10</v>
      </c>
      <c r="E1434" t="s">
        <v>21</v>
      </c>
      <c r="F1434">
        <v>68399361</v>
      </c>
      <c r="G1434" s="3" t="s">
        <v>22</v>
      </c>
      <c r="H1434" t="str">
        <f>_xlfn.XLOOKUP(TRIM(D1434),對應!D:D,對應!E:E,"未對應")</f>
        <v>3通路方案</v>
      </c>
    </row>
    <row r="1435" spans="1:8" x14ac:dyDescent="0.4">
      <c r="A1435" t="s">
        <v>43</v>
      </c>
      <c r="B1435">
        <v>2025</v>
      </c>
      <c r="C1435">
        <v>11</v>
      </c>
      <c r="D1435" t="s">
        <v>10</v>
      </c>
      <c r="E1435" t="s">
        <v>16</v>
      </c>
      <c r="F1435">
        <v>830396</v>
      </c>
      <c r="G1435" s="3" t="s">
        <v>16</v>
      </c>
      <c r="H1435" t="str">
        <f>_xlfn.XLOOKUP(TRIM(D1435),對應!D:D,對應!E:E,"未對應")</f>
        <v>3通路方案</v>
      </c>
    </row>
    <row r="1436" spans="1:8" x14ac:dyDescent="0.4">
      <c r="A1436" t="s">
        <v>43</v>
      </c>
      <c r="B1436">
        <v>2025</v>
      </c>
      <c r="C1436">
        <v>11</v>
      </c>
      <c r="D1436" t="s">
        <v>8</v>
      </c>
      <c r="E1436" t="s">
        <v>33</v>
      </c>
      <c r="F1436">
        <v>9748258</v>
      </c>
      <c r="G1436" s="3" t="s">
        <v>9</v>
      </c>
      <c r="H1436" t="str">
        <f>_xlfn.XLOOKUP(TRIM(D1436),對應!D:D,對應!E:E,"未對應")</f>
        <v>1網通+技鋼</v>
      </c>
    </row>
    <row r="1437" spans="1:8" x14ac:dyDescent="0.4">
      <c r="A1437" t="s">
        <v>31</v>
      </c>
      <c r="B1437">
        <v>2025</v>
      </c>
      <c r="C1437">
        <v>12</v>
      </c>
      <c r="D1437" t="s">
        <v>32</v>
      </c>
      <c r="E1437" t="s">
        <v>16</v>
      </c>
      <c r="F1437">
        <v>-2683271</v>
      </c>
      <c r="G1437" s="3" t="s">
        <v>32</v>
      </c>
      <c r="H1437" t="str">
        <f>_xlfn.XLOOKUP(TRIM(D1437),對應!D:D,對應!E:E,"未對應")</f>
        <v>5百事益</v>
      </c>
    </row>
    <row r="1438" spans="1:8" x14ac:dyDescent="0.4">
      <c r="A1438" t="s">
        <v>31</v>
      </c>
      <c r="B1438">
        <v>2025</v>
      </c>
      <c r="C1438">
        <v>12</v>
      </c>
      <c r="D1438" t="s">
        <v>32</v>
      </c>
      <c r="E1438" t="s">
        <v>16</v>
      </c>
      <c r="F1438">
        <v>-82448</v>
      </c>
      <c r="G1438" s="3" t="s">
        <v>32</v>
      </c>
      <c r="H1438" t="str">
        <f>_xlfn.XLOOKUP(TRIM(D1438),對應!D:D,對應!E:E,"未對應")</f>
        <v>5百事益</v>
      </c>
    </row>
    <row r="1439" spans="1:8" x14ac:dyDescent="0.4">
      <c r="A1439" t="s">
        <v>31</v>
      </c>
      <c r="B1439">
        <v>2025</v>
      </c>
      <c r="C1439">
        <v>12</v>
      </c>
      <c r="D1439" t="s">
        <v>10</v>
      </c>
      <c r="E1439" t="s">
        <v>21</v>
      </c>
      <c r="F1439">
        <v>-4615</v>
      </c>
      <c r="G1439" s="3" t="s">
        <v>22</v>
      </c>
      <c r="H1439" t="str">
        <f>_xlfn.XLOOKUP(TRIM(D1439),對應!D:D,對應!E:E,"未對應")</f>
        <v>3通路方案</v>
      </c>
    </row>
    <row r="1440" spans="1:8" x14ac:dyDescent="0.4">
      <c r="A1440" t="s">
        <v>31</v>
      </c>
      <c r="B1440">
        <v>2025</v>
      </c>
      <c r="C1440">
        <v>12</v>
      </c>
      <c r="D1440" t="s">
        <v>32</v>
      </c>
      <c r="E1440" t="s">
        <v>16</v>
      </c>
      <c r="F1440">
        <v>-458340</v>
      </c>
      <c r="G1440" s="3" t="s">
        <v>32</v>
      </c>
      <c r="H1440" t="str">
        <f>_xlfn.XLOOKUP(TRIM(D1440),對應!D:D,對應!E:E,"未對應")</f>
        <v>5百事益</v>
      </c>
    </row>
    <row r="1441" spans="1:8" x14ac:dyDescent="0.4">
      <c r="A1441" t="s">
        <v>7</v>
      </c>
      <c r="B1441">
        <v>2025</v>
      </c>
      <c r="C1441">
        <v>12</v>
      </c>
      <c r="D1441" t="s">
        <v>15</v>
      </c>
      <c r="E1441" t="s">
        <v>16</v>
      </c>
      <c r="F1441">
        <v>7824791</v>
      </c>
      <c r="G1441" s="3" t="s">
        <v>16</v>
      </c>
      <c r="H1441" t="str">
        <f>_xlfn.XLOOKUP(TRIM(D1441),對應!D:D,對應!E:E,"未對應")</f>
        <v>7製造</v>
      </c>
    </row>
    <row r="1442" spans="1:8" x14ac:dyDescent="0.4">
      <c r="A1442" t="s">
        <v>7</v>
      </c>
      <c r="B1442">
        <v>2025</v>
      </c>
      <c r="C1442">
        <v>12</v>
      </c>
      <c r="D1442" t="s">
        <v>17</v>
      </c>
      <c r="E1442" t="s">
        <v>18</v>
      </c>
      <c r="F1442">
        <v>795703180</v>
      </c>
      <c r="G1442" s="3" t="s">
        <v>19</v>
      </c>
      <c r="H1442" t="str">
        <f>_xlfn.XLOOKUP(TRIM(D1442),對應!D:D,對應!E:E,"未對應")</f>
        <v>4筆電+盈嘉</v>
      </c>
    </row>
    <row r="1443" spans="1:8" x14ac:dyDescent="0.4">
      <c r="A1443" t="s">
        <v>7</v>
      </c>
      <c r="B1443">
        <v>2025</v>
      </c>
      <c r="C1443">
        <v>12</v>
      </c>
      <c r="D1443" t="s">
        <v>10</v>
      </c>
      <c r="E1443" t="s">
        <v>24</v>
      </c>
      <c r="F1443">
        <v>2283697908</v>
      </c>
      <c r="G1443" s="3" t="s">
        <v>14</v>
      </c>
      <c r="H1443" t="str">
        <f>_xlfn.XLOOKUP(TRIM(D1443),對應!D:D,對應!E:E,"未對應")</f>
        <v>3通路方案</v>
      </c>
    </row>
    <row r="1444" spans="1:8" x14ac:dyDescent="0.4">
      <c r="A1444" t="s">
        <v>7</v>
      </c>
      <c r="B1444">
        <v>2025</v>
      </c>
      <c r="C1444">
        <v>12</v>
      </c>
      <c r="D1444" t="s">
        <v>10</v>
      </c>
      <c r="E1444" t="s">
        <v>29</v>
      </c>
      <c r="F1444">
        <v>18689109</v>
      </c>
      <c r="G1444" s="3" t="s">
        <v>12</v>
      </c>
      <c r="H1444" t="str">
        <f>_xlfn.XLOOKUP(TRIM(D1444),對應!D:D,對應!E:E,"未對應")</f>
        <v>3通路方案</v>
      </c>
    </row>
    <row r="1445" spans="1:8" x14ac:dyDescent="0.4">
      <c r="A1445" t="s">
        <v>7</v>
      </c>
      <c r="B1445">
        <v>2025</v>
      </c>
      <c r="C1445">
        <v>12</v>
      </c>
      <c r="D1445" t="s">
        <v>10</v>
      </c>
      <c r="E1445" t="s">
        <v>30</v>
      </c>
      <c r="F1445">
        <v>-11090201</v>
      </c>
      <c r="G1445" s="3" t="s">
        <v>12</v>
      </c>
      <c r="H1445" t="str">
        <f>_xlfn.XLOOKUP(TRIM(D1445),對應!D:D,對應!E:E,"未對應")</f>
        <v>3通路方案</v>
      </c>
    </row>
    <row r="1446" spans="1:8" x14ac:dyDescent="0.4">
      <c r="A1446" t="s">
        <v>7</v>
      </c>
      <c r="B1446">
        <v>2025</v>
      </c>
      <c r="C1446">
        <v>12</v>
      </c>
      <c r="D1446" t="s">
        <v>10</v>
      </c>
      <c r="E1446" t="s">
        <v>20</v>
      </c>
      <c r="F1446">
        <v>3190915</v>
      </c>
      <c r="G1446" s="3" t="s">
        <v>12</v>
      </c>
      <c r="H1446" t="str">
        <f>_xlfn.XLOOKUP(TRIM(D1446),對應!D:D,對應!E:E,"未對應")</f>
        <v>3通路方案</v>
      </c>
    </row>
    <row r="1447" spans="1:8" x14ac:dyDescent="0.4">
      <c r="A1447" t="s">
        <v>7</v>
      </c>
      <c r="B1447">
        <v>2025</v>
      </c>
      <c r="C1447">
        <v>12</v>
      </c>
      <c r="D1447" t="s">
        <v>10</v>
      </c>
      <c r="E1447" t="s">
        <v>25</v>
      </c>
      <c r="F1447">
        <v>-2283632</v>
      </c>
      <c r="G1447" s="3" t="s">
        <v>14</v>
      </c>
      <c r="H1447" t="str">
        <f>_xlfn.XLOOKUP(TRIM(D1447),對應!D:D,對應!E:E,"未對應")</f>
        <v>3通路方案</v>
      </c>
    </row>
    <row r="1448" spans="1:8" x14ac:dyDescent="0.4">
      <c r="A1448" t="s">
        <v>7</v>
      </c>
      <c r="B1448">
        <v>2025</v>
      </c>
      <c r="C1448">
        <v>12</v>
      </c>
      <c r="D1448" t="s">
        <v>10</v>
      </c>
      <c r="E1448" t="s">
        <v>27</v>
      </c>
      <c r="F1448">
        <v>84996254</v>
      </c>
      <c r="G1448" s="3" t="s">
        <v>28</v>
      </c>
      <c r="H1448" t="str">
        <f>_xlfn.XLOOKUP(TRIM(D1448),對應!D:D,對應!E:E,"未對應")</f>
        <v>3通路方案</v>
      </c>
    </row>
    <row r="1449" spans="1:8" x14ac:dyDescent="0.4">
      <c r="A1449" t="s">
        <v>7</v>
      </c>
      <c r="B1449">
        <v>2025</v>
      </c>
      <c r="C1449">
        <v>12</v>
      </c>
      <c r="D1449" t="s">
        <v>10</v>
      </c>
      <c r="E1449" t="s">
        <v>16</v>
      </c>
      <c r="F1449">
        <v>36297643</v>
      </c>
      <c r="G1449" s="3" t="s">
        <v>16</v>
      </c>
      <c r="H1449" t="str">
        <f>_xlfn.XLOOKUP(TRIM(D1449),對應!D:D,對應!E:E,"未對應")</f>
        <v>3通路方案</v>
      </c>
    </row>
    <row r="1450" spans="1:8" x14ac:dyDescent="0.4">
      <c r="A1450" t="s">
        <v>7</v>
      </c>
      <c r="B1450">
        <v>2025</v>
      </c>
      <c r="C1450">
        <v>12</v>
      </c>
      <c r="D1450" t="s">
        <v>10</v>
      </c>
      <c r="E1450" t="s">
        <v>38</v>
      </c>
      <c r="F1450">
        <v>-2165673</v>
      </c>
      <c r="G1450" s="3" t="s">
        <v>12</v>
      </c>
      <c r="H1450" t="str">
        <f>_xlfn.XLOOKUP(TRIM(D1450),對應!D:D,對應!E:E,"未對應")</f>
        <v>3通路方案</v>
      </c>
    </row>
    <row r="1451" spans="1:8" x14ac:dyDescent="0.4">
      <c r="A1451" t="s">
        <v>7</v>
      </c>
      <c r="B1451">
        <v>2025</v>
      </c>
      <c r="C1451">
        <v>12</v>
      </c>
      <c r="D1451" t="s">
        <v>10</v>
      </c>
      <c r="E1451" t="s">
        <v>11</v>
      </c>
      <c r="F1451">
        <v>50992920</v>
      </c>
      <c r="G1451" s="3" t="s">
        <v>12</v>
      </c>
      <c r="H1451" t="str">
        <f>_xlfn.XLOOKUP(TRIM(D1451),對應!D:D,對應!E:E,"未對應")</f>
        <v>3通路方案</v>
      </c>
    </row>
    <row r="1452" spans="1:8" x14ac:dyDescent="0.4">
      <c r="A1452" t="s">
        <v>7</v>
      </c>
      <c r="B1452">
        <v>2025</v>
      </c>
      <c r="C1452">
        <v>12</v>
      </c>
      <c r="D1452" t="s">
        <v>10</v>
      </c>
      <c r="E1452" t="s">
        <v>13</v>
      </c>
      <c r="F1452">
        <v>-88546</v>
      </c>
      <c r="G1452" s="3" t="s">
        <v>14</v>
      </c>
      <c r="H1452" t="str">
        <f>_xlfn.XLOOKUP(TRIM(D1452),對應!D:D,對應!E:E,"未對應")</f>
        <v>3通路方案</v>
      </c>
    </row>
    <row r="1453" spans="1:8" x14ac:dyDescent="0.4">
      <c r="A1453" t="s">
        <v>7</v>
      </c>
      <c r="B1453">
        <v>2025</v>
      </c>
      <c r="C1453">
        <v>12</v>
      </c>
      <c r="D1453" t="s">
        <v>10</v>
      </c>
      <c r="E1453" t="s">
        <v>26</v>
      </c>
      <c r="F1453">
        <v>61242071</v>
      </c>
      <c r="G1453" s="3" t="s">
        <v>14</v>
      </c>
      <c r="H1453" t="str">
        <f>_xlfn.XLOOKUP(TRIM(D1453),對應!D:D,對應!E:E,"未對應")</f>
        <v>3通路方案</v>
      </c>
    </row>
    <row r="1454" spans="1:8" x14ac:dyDescent="0.4">
      <c r="A1454" t="s">
        <v>7</v>
      </c>
      <c r="B1454">
        <v>2025</v>
      </c>
      <c r="C1454">
        <v>12</v>
      </c>
      <c r="D1454" t="s">
        <v>10</v>
      </c>
      <c r="E1454" t="s">
        <v>21</v>
      </c>
      <c r="F1454">
        <v>6255946317</v>
      </c>
      <c r="G1454" s="3" t="s">
        <v>22</v>
      </c>
      <c r="H1454" t="str">
        <f>_xlfn.XLOOKUP(TRIM(D1454),對應!D:D,對應!E:E,"未對應")</f>
        <v>3通路方案</v>
      </c>
    </row>
    <row r="1455" spans="1:8" x14ac:dyDescent="0.4">
      <c r="A1455" t="s">
        <v>7</v>
      </c>
      <c r="B1455">
        <v>2025</v>
      </c>
      <c r="C1455">
        <v>12</v>
      </c>
      <c r="D1455" t="s">
        <v>8</v>
      </c>
      <c r="E1455" t="s">
        <v>16</v>
      </c>
      <c r="F1455">
        <v>4893248</v>
      </c>
      <c r="G1455" s="3" t="s">
        <v>16</v>
      </c>
      <c r="H1455" t="str">
        <f>_xlfn.XLOOKUP(TRIM(D1455),對應!D:D,對應!E:E,"未對應")</f>
        <v>1網通+技鋼</v>
      </c>
    </row>
    <row r="1456" spans="1:8" x14ac:dyDescent="0.4">
      <c r="A1456" t="s">
        <v>7</v>
      </c>
      <c r="B1456">
        <v>2025</v>
      </c>
      <c r="C1456">
        <v>12</v>
      </c>
      <c r="D1456" t="s">
        <v>15</v>
      </c>
      <c r="E1456" t="s">
        <v>16</v>
      </c>
      <c r="F1456">
        <v>98022040</v>
      </c>
      <c r="G1456" s="3" t="s">
        <v>16</v>
      </c>
      <c r="H1456" t="str">
        <f>_xlfn.XLOOKUP(TRIM(D1456),對應!D:D,對應!E:E,"未對應")</f>
        <v>7製造</v>
      </c>
    </row>
    <row r="1457" spans="1:8" x14ac:dyDescent="0.4">
      <c r="A1457" t="s">
        <v>23</v>
      </c>
      <c r="B1457">
        <v>2025</v>
      </c>
      <c r="C1457">
        <v>12</v>
      </c>
      <c r="D1457" t="s">
        <v>10</v>
      </c>
      <c r="E1457" t="s">
        <v>26</v>
      </c>
      <c r="F1457">
        <v>-125664</v>
      </c>
      <c r="G1457" s="3" t="s">
        <v>14</v>
      </c>
      <c r="H1457" t="str">
        <f>_xlfn.XLOOKUP(TRIM(D1457),對應!D:D,對應!E:E,"未對應")</f>
        <v>3通路方案</v>
      </c>
    </row>
    <row r="1458" spans="1:8" x14ac:dyDescent="0.4">
      <c r="A1458" t="s">
        <v>23</v>
      </c>
      <c r="B1458">
        <v>2025</v>
      </c>
      <c r="C1458">
        <v>12</v>
      </c>
      <c r="D1458" t="s">
        <v>10</v>
      </c>
      <c r="E1458" t="s">
        <v>24</v>
      </c>
      <c r="F1458">
        <v>-548326905</v>
      </c>
      <c r="G1458" s="3" t="s">
        <v>14</v>
      </c>
      <c r="H1458" t="str">
        <f>_xlfn.XLOOKUP(TRIM(D1458),對應!D:D,對應!E:E,"未對應")</f>
        <v>3通路方案</v>
      </c>
    </row>
    <row r="1459" spans="1:8" x14ac:dyDescent="0.4">
      <c r="A1459" t="s">
        <v>23</v>
      </c>
      <c r="B1459">
        <v>2025</v>
      </c>
      <c r="C1459">
        <v>12</v>
      </c>
      <c r="D1459" t="s">
        <v>10</v>
      </c>
      <c r="E1459" t="s">
        <v>29</v>
      </c>
      <c r="F1459">
        <v>-60323815</v>
      </c>
      <c r="G1459" s="3" t="s">
        <v>12</v>
      </c>
      <c r="H1459" t="str">
        <f>_xlfn.XLOOKUP(TRIM(D1459),對應!D:D,對應!E:E,"未對應")</f>
        <v>3通路方案</v>
      </c>
    </row>
    <row r="1460" spans="1:8" x14ac:dyDescent="0.4">
      <c r="A1460" t="s">
        <v>23</v>
      </c>
      <c r="B1460">
        <v>2025</v>
      </c>
      <c r="C1460">
        <v>12</v>
      </c>
      <c r="D1460" t="s">
        <v>10</v>
      </c>
      <c r="E1460" t="s">
        <v>25</v>
      </c>
      <c r="F1460">
        <v>-24515</v>
      </c>
      <c r="G1460" s="3" t="s">
        <v>14</v>
      </c>
      <c r="H1460" t="str">
        <f>_xlfn.XLOOKUP(TRIM(D1460),對應!D:D,對應!E:E,"未對應")</f>
        <v>3通路方案</v>
      </c>
    </row>
    <row r="1461" spans="1:8" x14ac:dyDescent="0.4">
      <c r="A1461" t="s">
        <v>23</v>
      </c>
      <c r="B1461">
        <v>2025</v>
      </c>
      <c r="C1461">
        <v>12</v>
      </c>
      <c r="D1461" t="s">
        <v>10</v>
      </c>
      <c r="E1461" t="s">
        <v>11</v>
      </c>
      <c r="F1461">
        <v>-1902465</v>
      </c>
      <c r="G1461" s="3" t="s">
        <v>12</v>
      </c>
      <c r="H1461" t="str">
        <f>_xlfn.XLOOKUP(TRIM(D1461),對應!D:D,對應!E:E,"未對應")</f>
        <v>3通路方案</v>
      </c>
    </row>
    <row r="1462" spans="1:8" x14ac:dyDescent="0.4">
      <c r="A1462" t="s">
        <v>23</v>
      </c>
      <c r="B1462">
        <v>2025</v>
      </c>
      <c r="C1462">
        <v>12</v>
      </c>
      <c r="D1462" t="s">
        <v>10</v>
      </c>
      <c r="E1462" t="s">
        <v>26</v>
      </c>
      <c r="F1462">
        <v>-8579293</v>
      </c>
      <c r="G1462" s="3" t="s">
        <v>14</v>
      </c>
      <c r="H1462" t="str">
        <f>_xlfn.XLOOKUP(TRIM(D1462),對應!D:D,對應!E:E,"未對應")</f>
        <v>3通路方案</v>
      </c>
    </row>
    <row r="1463" spans="1:8" x14ac:dyDescent="0.4">
      <c r="A1463" t="s">
        <v>23</v>
      </c>
      <c r="B1463">
        <v>2025</v>
      </c>
      <c r="C1463">
        <v>12</v>
      </c>
      <c r="D1463" t="s">
        <v>10</v>
      </c>
      <c r="E1463" t="s">
        <v>21</v>
      </c>
      <c r="F1463">
        <v>-931327866</v>
      </c>
      <c r="G1463" s="3" t="s">
        <v>22</v>
      </c>
      <c r="H1463" t="str">
        <f>_xlfn.XLOOKUP(TRIM(D1463),對應!D:D,對應!E:E,"未對應")</f>
        <v>3通路方案</v>
      </c>
    </row>
    <row r="1464" spans="1:8" x14ac:dyDescent="0.4">
      <c r="A1464" t="s">
        <v>23</v>
      </c>
      <c r="B1464">
        <v>2025</v>
      </c>
      <c r="C1464">
        <v>12</v>
      </c>
      <c r="D1464" t="s">
        <v>15</v>
      </c>
      <c r="E1464" t="s">
        <v>16</v>
      </c>
      <c r="F1464">
        <v>-16638985</v>
      </c>
      <c r="G1464" s="3" t="s">
        <v>16</v>
      </c>
      <c r="H1464" t="str">
        <f>_xlfn.XLOOKUP(TRIM(D1464),對應!D:D,對應!E:E,"未對應")</f>
        <v>7製造</v>
      </c>
    </row>
    <row r="1465" spans="1:8" x14ac:dyDescent="0.4">
      <c r="A1465" t="s">
        <v>23</v>
      </c>
      <c r="B1465">
        <v>2025</v>
      </c>
      <c r="C1465">
        <v>12</v>
      </c>
      <c r="D1465" t="s">
        <v>15</v>
      </c>
      <c r="E1465" t="s">
        <v>16</v>
      </c>
      <c r="F1465">
        <v>-7824791</v>
      </c>
      <c r="G1465" s="3" t="s">
        <v>16</v>
      </c>
      <c r="H1465" t="str">
        <f>_xlfn.XLOOKUP(TRIM(D1465),對應!D:D,對應!E:E,"未對應")</f>
        <v>7製造</v>
      </c>
    </row>
    <row r="1466" spans="1:8" x14ac:dyDescent="0.4">
      <c r="A1466" t="s">
        <v>23</v>
      </c>
      <c r="B1466">
        <v>2025</v>
      </c>
      <c r="C1466">
        <v>12</v>
      </c>
      <c r="D1466" t="s">
        <v>10</v>
      </c>
      <c r="E1466" t="s">
        <v>16</v>
      </c>
      <c r="F1466">
        <v>-40371</v>
      </c>
      <c r="G1466" s="3" t="s">
        <v>16</v>
      </c>
      <c r="H1466" t="str">
        <f>_xlfn.XLOOKUP(TRIM(D1466),對應!D:D,對應!E:E,"未對應")</f>
        <v>3通路方案</v>
      </c>
    </row>
    <row r="1467" spans="1:8" x14ac:dyDescent="0.4">
      <c r="A1467" t="s">
        <v>23</v>
      </c>
      <c r="B1467">
        <v>2025</v>
      </c>
      <c r="C1467">
        <v>12</v>
      </c>
      <c r="D1467" t="s">
        <v>15</v>
      </c>
      <c r="E1467" t="s">
        <v>16</v>
      </c>
      <c r="F1467">
        <v>-67446734</v>
      </c>
      <c r="G1467" s="3" t="s">
        <v>16</v>
      </c>
      <c r="H1467" t="str">
        <f>_xlfn.XLOOKUP(TRIM(D1467),對應!D:D,對應!E:E,"未對應")</f>
        <v>7製造</v>
      </c>
    </row>
    <row r="1468" spans="1:8" x14ac:dyDescent="0.4">
      <c r="A1468" t="s">
        <v>23</v>
      </c>
      <c r="B1468">
        <v>2025</v>
      </c>
      <c r="C1468">
        <v>12</v>
      </c>
      <c r="D1468" t="s">
        <v>17</v>
      </c>
      <c r="E1468" t="s">
        <v>18</v>
      </c>
      <c r="F1468">
        <v>-402474134</v>
      </c>
      <c r="G1468" s="3" t="s">
        <v>19</v>
      </c>
      <c r="H1468" t="str">
        <f>_xlfn.XLOOKUP(TRIM(D1468),對應!D:D,對應!E:E,"未對應")</f>
        <v>4筆電+盈嘉</v>
      </c>
    </row>
    <row r="1469" spans="1:8" x14ac:dyDescent="0.4">
      <c r="A1469" t="s">
        <v>23</v>
      </c>
      <c r="B1469">
        <v>2025</v>
      </c>
      <c r="C1469">
        <v>12</v>
      </c>
      <c r="D1469" t="s">
        <v>10</v>
      </c>
      <c r="E1469" t="s">
        <v>24</v>
      </c>
      <c r="F1469">
        <v>-439182122</v>
      </c>
      <c r="G1469" s="3" t="s">
        <v>14</v>
      </c>
      <c r="H1469" t="str">
        <f>_xlfn.XLOOKUP(TRIM(D1469),對應!D:D,對應!E:E,"未對應")</f>
        <v>3通路方案</v>
      </c>
    </row>
    <row r="1470" spans="1:8" x14ac:dyDescent="0.4">
      <c r="A1470" t="s">
        <v>23</v>
      </c>
      <c r="B1470">
        <v>2025</v>
      </c>
      <c r="C1470">
        <v>12</v>
      </c>
      <c r="D1470" t="s">
        <v>10</v>
      </c>
      <c r="E1470" t="s">
        <v>29</v>
      </c>
      <c r="F1470">
        <v>70061694</v>
      </c>
      <c r="G1470" s="3" t="s">
        <v>12</v>
      </c>
      <c r="H1470" t="str">
        <f>_xlfn.XLOOKUP(TRIM(D1470),對應!D:D,對應!E:E,"未對應")</f>
        <v>3通路方案</v>
      </c>
    </row>
    <row r="1471" spans="1:8" x14ac:dyDescent="0.4">
      <c r="A1471" t="s">
        <v>23</v>
      </c>
      <c r="B1471">
        <v>2025</v>
      </c>
      <c r="C1471">
        <v>12</v>
      </c>
      <c r="D1471" t="s">
        <v>10</v>
      </c>
      <c r="E1471" t="s">
        <v>30</v>
      </c>
      <c r="F1471">
        <v>14214445</v>
      </c>
      <c r="G1471" s="3" t="s">
        <v>12</v>
      </c>
      <c r="H1471" t="str">
        <f>_xlfn.XLOOKUP(TRIM(D1471),對應!D:D,對應!E:E,"未對應")</f>
        <v>3通路方案</v>
      </c>
    </row>
    <row r="1472" spans="1:8" x14ac:dyDescent="0.4">
      <c r="A1472" t="s">
        <v>23</v>
      </c>
      <c r="B1472">
        <v>2025</v>
      </c>
      <c r="C1472">
        <v>12</v>
      </c>
      <c r="D1472" t="s">
        <v>10</v>
      </c>
      <c r="E1472" t="s">
        <v>20</v>
      </c>
      <c r="F1472">
        <v>3817398</v>
      </c>
      <c r="G1472" s="3" t="s">
        <v>12</v>
      </c>
      <c r="H1472" t="str">
        <f>_xlfn.XLOOKUP(TRIM(D1472),對應!D:D,對應!E:E,"未對應")</f>
        <v>3通路方案</v>
      </c>
    </row>
    <row r="1473" spans="1:8" x14ac:dyDescent="0.4">
      <c r="A1473" t="s">
        <v>23</v>
      </c>
      <c r="B1473">
        <v>2025</v>
      </c>
      <c r="C1473">
        <v>12</v>
      </c>
      <c r="D1473" t="s">
        <v>10</v>
      </c>
      <c r="E1473" t="s">
        <v>25</v>
      </c>
      <c r="F1473">
        <v>2955172</v>
      </c>
      <c r="G1473" s="3" t="s">
        <v>14</v>
      </c>
      <c r="H1473" t="str">
        <f>_xlfn.XLOOKUP(TRIM(D1473),對應!D:D,對應!E:E,"未對應")</f>
        <v>3通路方案</v>
      </c>
    </row>
    <row r="1474" spans="1:8" x14ac:dyDescent="0.4">
      <c r="A1474" t="s">
        <v>23</v>
      </c>
      <c r="B1474">
        <v>2025</v>
      </c>
      <c r="C1474">
        <v>12</v>
      </c>
      <c r="D1474" t="s">
        <v>10</v>
      </c>
      <c r="E1474" t="s">
        <v>27</v>
      </c>
      <c r="F1474">
        <v>128223632</v>
      </c>
      <c r="G1474" s="3" t="s">
        <v>28</v>
      </c>
      <c r="H1474" t="str">
        <f>_xlfn.XLOOKUP(TRIM(D1474),對應!D:D,對應!E:E,"未對應")</f>
        <v>3通路方案</v>
      </c>
    </row>
    <row r="1475" spans="1:8" x14ac:dyDescent="0.4">
      <c r="A1475" t="s">
        <v>23</v>
      </c>
      <c r="B1475">
        <v>2025</v>
      </c>
      <c r="C1475">
        <v>12</v>
      </c>
      <c r="D1475" t="s">
        <v>10</v>
      </c>
      <c r="E1475" t="s">
        <v>38</v>
      </c>
      <c r="F1475">
        <v>5375898</v>
      </c>
      <c r="G1475" s="3" t="s">
        <v>12</v>
      </c>
      <c r="H1475" t="str">
        <f>_xlfn.XLOOKUP(TRIM(D1475),對應!D:D,對應!E:E,"未對應")</f>
        <v>3通路方案</v>
      </c>
    </row>
    <row r="1476" spans="1:8" x14ac:dyDescent="0.4">
      <c r="A1476" t="s">
        <v>23</v>
      </c>
      <c r="B1476">
        <v>2025</v>
      </c>
      <c r="C1476">
        <v>12</v>
      </c>
      <c r="D1476" t="s">
        <v>10</v>
      </c>
      <c r="E1476" t="s">
        <v>11</v>
      </c>
      <c r="F1476">
        <v>14678821</v>
      </c>
      <c r="G1476" s="3" t="s">
        <v>12</v>
      </c>
      <c r="H1476" t="str">
        <f>_xlfn.XLOOKUP(TRIM(D1476),對應!D:D,對應!E:E,"未對應")</f>
        <v>3通路方案</v>
      </c>
    </row>
    <row r="1477" spans="1:8" x14ac:dyDescent="0.4">
      <c r="A1477" t="s">
        <v>23</v>
      </c>
      <c r="B1477">
        <v>2025</v>
      </c>
      <c r="C1477">
        <v>12</v>
      </c>
      <c r="D1477" t="s">
        <v>10</v>
      </c>
      <c r="E1477" t="s">
        <v>13</v>
      </c>
      <c r="F1477">
        <v>31438</v>
      </c>
      <c r="G1477" s="3" t="s">
        <v>14</v>
      </c>
      <c r="H1477" t="str">
        <f>_xlfn.XLOOKUP(TRIM(D1477),對應!D:D,對應!E:E,"未對應")</f>
        <v>3通路方案</v>
      </c>
    </row>
    <row r="1478" spans="1:8" x14ac:dyDescent="0.4">
      <c r="A1478" t="s">
        <v>23</v>
      </c>
      <c r="B1478">
        <v>2025</v>
      </c>
      <c r="C1478">
        <v>12</v>
      </c>
      <c r="D1478" t="s">
        <v>10</v>
      </c>
      <c r="E1478" t="s">
        <v>26</v>
      </c>
      <c r="F1478">
        <v>-972493</v>
      </c>
      <c r="G1478" s="3" t="s">
        <v>14</v>
      </c>
      <c r="H1478" t="str">
        <f>_xlfn.XLOOKUP(TRIM(D1478),對應!D:D,對應!E:E,"未對應")</f>
        <v>3通路方案</v>
      </c>
    </row>
    <row r="1479" spans="1:8" x14ac:dyDescent="0.4">
      <c r="A1479" t="s">
        <v>23</v>
      </c>
      <c r="B1479">
        <v>2025</v>
      </c>
      <c r="C1479">
        <v>12</v>
      </c>
      <c r="D1479" t="s">
        <v>10</v>
      </c>
      <c r="E1479" t="s">
        <v>21</v>
      </c>
      <c r="F1479">
        <v>-1451419192</v>
      </c>
      <c r="G1479" s="3" t="s">
        <v>22</v>
      </c>
      <c r="H1479" t="str">
        <f>_xlfn.XLOOKUP(TRIM(D1479),對應!D:D,對應!E:E,"未對應")</f>
        <v>3通路方案</v>
      </c>
    </row>
    <row r="1480" spans="1:8" x14ac:dyDescent="0.4">
      <c r="A1480" t="s">
        <v>23</v>
      </c>
      <c r="B1480">
        <v>2025</v>
      </c>
      <c r="C1480">
        <v>12</v>
      </c>
      <c r="D1480" t="s">
        <v>10</v>
      </c>
      <c r="E1480" t="s">
        <v>26</v>
      </c>
      <c r="F1480">
        <v>-2995445</v>
      </c>
      <c r="G1480" s="3" t="s">
        <v>14</v>
      </c>
      <c r="H1480" t="str">
        <f>_xlfn.XLOOKUP(TRIM(D1480),對應!D:D,對應!E:E,"未對應")</f>
        <v>3通路方案</v>
      </c>
    </row>
    <row r="1481" spans="1:8" x14ac:dyDescent="0.4">
      <c r="A1481" t="s">
        <v>23</v>
      </c>
      <c r="B1481">
        <v>2025</v>
      </c>
      <c r="C1481">
        <v>12</v>
      </c>
      <c r="D1481" t="s">
        <v>17</v>
      </c>
      <c r="E1481" t="s">
        <v>18</v>
      </c>
      <c r="F1481">
        <v>-10512166</v>
      </c>
      <c r="G1481" s="3" t="s">
        <v>19</v>
      </c>
      <c r="H1481" t="str">
        <f>_xlfn.XLOOKUP(TRIM(D1481),對應!D:D,對應!E:E,"未對應")</f>
        <v>4筆電+盈嘉</v>
      </c>
    </row>
    <row r="1482" spans="1:8" x14ac:dyDescent="0.4">
      <c r="A1482" t="s">
        <v>23</v>
      </c>
      <c r="B1482">
        <v>2025</v>
      </c>
      <c r="C1482">
        <v>12</v>
      </c>
      <c r="D1482" t="s">
        <v>10</v>
      </c>
      <c r="E1482" t="s">
        <v>24</v>
      </c>
      <c r="F1482">
        <v>-9671923</v>
      </c>
      <c r="G1482" s="3" t="s">
        <v>14</v>
      </c>
      <c r="H1482" t="str">
        <f>_xlfn.XLOOKUP(TRIM(D1482),對應!D:D,對應!E:E,"未對應")</f>
        <v>3通路方案</v>
      </c>
    </row>
    <row r="1483" spans="1:8" x14ac:dyDescent="0.4">
      <c r="A1483" t="s">
        <v>23</v>
      </c>
      <c r="B1483">
        <v>2025</v>
      </c>
      <c r="C1483">
        <v>12</v>
      </c>
      <c r="D1483" t="s">
        <v>10</v>
      </c>
      <c r="E1483" t="s">
        <v>29</v>
      </c>
      <c r="F1483">
        <v>-521632</v>
      </c>
      <c r="G1483" s="3" t="s">
        <v>12</v>
      </c>
      <c r="H1483" t="str">
        <f>_xlfn.XLOOKUP(TRIM(D1483),對應!D:D,對應!E:E,"未對應")</f>
        <v>3通路方案</v>
      </c>
    </row>
    <row r="1484" spans="1:8" x14ac:dyDescent="0.4">
      <c r="A1484" t="s">
        <v>23</v>
      </c>
      <c r="B1484">
        <v>2025</v>
      </c>
      <c r="C1484">
        <v>12</v>
      </c>
      <c r="D1484" t="s">
        <v>10</v>
      </c>
      <c r="E1484" t="s">
        <v>30</v>
      </c>
      <c r="F1484">
        <v>-80149</v>
      </c>
      <c r="G1484" s="3" t="s">
        <v>12</v>
      </c>
      <c r="H1484" t="str">
        <f>_xlfn.XLOOKUP(TRIM(D1484),對應!D:D,對應!E:E,"未對應")</f>
        <v>3通路方案</v>
      </c>
    </row>
    <row r="1485" spans="1:8" x14ac:dyDescent="0.4">
      <c r="A1485" t="s">
        <v>23</v>
      </c>
      <c r="B1485">
        <v>2025</v>
      </c>
      <c r="C1485">
        <v>12</v>
      </c>
      <c r="D1485" t="s">
        <v>10</v>
      </c>
      <c r="E1485" t="s">
        <v>20</v>
      </c>
      <c r="F1485">
        <v>-113962</v>
      </c>
      <c r="G1485" s="3" t="s">
        <v>12</v>
      </c>
      <c r="H1485" t="str">
        <f>_xlfn.XLOOKUP(TRIM(D1485),對應!D:D,對應!E:E,"未對應")</f>
        <v>3通路方案</v>
      </c>
    </row>
    <row r="1486" spans="1:8" x14ac:dyDescent="0.4">
      <c r="A1486" t="s">
        <v>23</v>
      </c>
      <c r="B1486">
        <v>2025</v>
      </c>
      <c r="C1486">
        <v>12</v>
      </c>
      <c r="D1486" t="s">
        <v>10</v>
      </c>
      <c r="E1486" t="s">
        <v>27</v>
      </c>
      <c r="F1486">
        <v>-1551100</v>
      </c>
      <c r="G1486" s="3" t="s">
        <v>28</v>
      </c>
      <c r="H1486" t="str">
        <f>_xlfn.XLOOKUP(TRIM(D1486),對應!D:D,對應!E:E,"未對應")</f>
        <v>3通路方案</v>
      </c>
    </row>
    <row r="1487" spans="1:8" x14ac:dyDescent="0.4">
      <c r="A1487" t="s">
        <v>23</v>
      </c>
      <c r="B1487">
        <v>2025</v>
      </c>
      <c r="C1487">
        <v>12</v>
      </c>
      <c r="D1487" t="s">
        <v>10</v>
      </c>
      <c r="E1487" t="s">
        <v>38</v>
      </c>
      <c r="F1487">
        <v>125752</v>
      </c>
      <c r="G1487" s="3" t="s">
        <v>12</v>
      </c>
      <c r="H1487" t="str">
        <f>_xlfn.XLOOKUP(TRIM(D1487),對應!D:D,對應!E:E,"未對應")</f>
        <v>3通路方案</v>
      </c>
    </row>
    <row r="1488" spans="1:8" x14ac:dyDescent="0.4">
      <c r="A1488" t="s">
        <v>23</v>
      </c>
      <c r="B1488">
        <v>2025</v>
      </c>
      <c r="C1488">
        <v>12</v>
      </c>
      <c r="D1488" t="s">
        <v>10</v>
      </c>
      <c r="E1488" t="s">
        <v>11</v>
      </c>
      <c r="F1488">
        <v>-274056</v>
      </c>
      <c r="G1488" s="3" t="s">
        <v>12</v>
      </c>
      <c r="H1488" t="str">
        <f>_xlfn.XLOOKUP(TRIM(D1488),對應!D:D,對應!E:E,"未對應")</f>
        <v>3通路方案</v>
      </c>
    </row>
    <row r="1489" spans="1:8" x14ac:dyDescent="0.4">
      <c r="A1489" t="s">
        <v>23</v>
      </c>
      <c r="B1489">
        <v>2025</v>
      </c>
      <c r="C1489">
        <v>12</v>
      </c>
      <c r="D1489" t="s">
        <v>10</v>
      </c>
      <c r="E1489" t="s">
        <v>21</v>
      </c>
      <c r="F1489">
        <v>-39176519</v>
      </c>
      <c r="G1489" s="3" t="s">
        <v>22</v>
      </c>
      <c r="H1489" t="str">
        <f>_xlfn.XLOOKUP(TRIM(D1489),對應!D:D,對應!E:E,"未對應")</f>
        <v>3通路方案</v>
      </c>
    </row>
    <row r="1490" spans="1:8" x14ac:dyDescent="0.4">
      <c r="A1490" t="s">
        <v>23</v>
      </c>
      <c r="B1490">
        <v>2025</v>
      </c>
      <c r="C1490">
        <v>12</v>
      </c>
      <c r="D1490" t="s">
        <v>15</v>
      </c>
      <c r="E1490" t="s">
        <v>16</v>
      </c>
      <c r="F1490">
        <v>-2496312</v>
      </c>
      <c r="G1490" s="3" t="s">
        <v>16</v>
      </c>
      <c r="H1490" t="str">
        <f>_xlfn.XLOOKUP(TRIM(D1490),對應!D:D,對應!E:E,"未對應")</f>
        <v>7製造</v>
      </c>
    </row>
    <row r="1491" spans="1:8" x14ac:dyDescent="0.4">
      <c r="A1491" t="s">
        <v>31</v>
      </c>
      <c r="B1491">
        <v>2025</v>
      </c>
      <c r="C1491">
        <v>7</v>
      </c>
      <c r="D1491" t="s">
        <v>32</v>
      </c>
      <c r="E1491" t="s">
        <v>16</v>
      </c>
      <c r="F1491">
        <v>-2150859</v>
      </c>
      <c r="G1491" s="3" t="s">
        <v>32</v>
      </c>
      <c r="H1491" t="str">
        <f>_xlfn.XLOOKUP(TRIM(D1491),對應!D:D,對應!E:E,"未對應")</f>
        <v>5百事益</v>
      </c>
    </row>
    <row r="1492" spans="1:8" x14ac:dyDescent="0.4">
      <c r="A1492" t="s">
        <v>31</v>
      </c>
      <c r="B1492">
        <v>2025</v>
      </c>
      <c r="C1492">
        <v>7</v>
      </c>
      <c r="D1492" t="s">
        <v>32</v>
      </c>
      <c r="E1492" t="s">
        <v>16</v>
      </c>
      <c r="F1492">
        <v>-6502028</v>
      </c>
      <c r="G1492" s="3" t="s">
        <v>32</v>
      </c>
      <c r="H1492" t="str">
        <f>_xlfn.XLOOKUP(TRIM(D1492),對應!D:D,對應!E:E,"未對應")</f>
        <v>5百事益</v>
      </c>
    </row>
    <row r="1493" spans="1:8" x14ac:dyDescent="0.4">
      <c r="A1493" t="s">
        <v>31</v>
      </c>
      <c r="B1493">
        <v>2025</v>
      </c>
      <c r="C1493">
        <v>7</v>
      </c>
      <c r="D1493" t="s">
        <v>32</v>
      </c>
      <c r="E1493" t="s">
        <v>16</v>
      </c>
      <c r="F1493">
        <v>-271936</v>
      </c>
      <c r="G1493" s="3" t="s">
        <v>32</v>
      </c>
      <c r="H1493" t="str">
        <f>_xlfn.XLOOKUP(TRIM(D1493),對應!D:D,對應!E:E,"未對應")</f>
        <v>5百事益</v>
      </c>
    </row>
    <row r="1494" spans="1:8" x14ac:dyDescent="0.4">
      <c r="A1494" t="s">
        <v>31</v>
      </c>
      <c r="B1494">
        <v>2025</v>
      </c>
      <c r="C1494">
        <v>7</v>
      </c>
      <c r="D1494" t="s">
        <v>17</v>
      </c>
      <c r="E1494" t="s">
        <v>18</v>
      </c>
      <c r="F1494">
        <v>-52622</v>
      </c>
      <c r="G1494" s="3" t="s">
        <v>19</v>
      </c>
      <c r="H1494" t="str">
        <f>_xlfn.XLOOKUP(TRIM(D1494),對應!D:D,對應!E:E,"未對應")</f>
        <v>4筆電+盈嘉</v>
      </c>
    </row>
    <row r="1495" spans="1:8" x14ac:dyDescent="0.4">
      <c r="A1495" t="s">
        <v>31</v>
      </c>
      <c r="B1495">
        <v>2025</v>
      </c>
      <c r="C1495">
        <v>7</v>
      </c>
      <c r="D1495" t="s">
        <v>10</v>
      </c>
      <c r="E1495" t="s">
        <v>27</v>
      </c>
      <c r="F1495">
        <v>-13343</v>
      </c>
      <c r="G1495" s="3" t="s">
        <v>28</v>
      </c>
      <c r="H1495" t="str">
        <f>_xlfn.XLOOKUP(TRIM(D1495),對應!D:D,對應!E:E,"未對應")</f>
        <v>3通路方案</v>
      </c>
    </row>
    <row r="1496" spans="1:8" x14ac:dyDescent="0.4">
      <c r="A1496" t="s">
        <v>31</v>
      </c>
      <c r="B1496">
        <v>2025</v>
      </c>
      <c r="C1496">
        <v>7</v>
      </c>
      <c r="D1496" t="s">
        <v>8</v>
      </c>
      <c r="E1496" t="s">
        <v>33</v>
      </c>
      <c r="F1496">
        <v>-3824864</v>
      </c>
      <c r="G1496" s="3" t="s">
        <v>9</v>
      </c>
      <c r="H1496" t="str">
        <f>_xlfn.XLOOKUP(TRIM(D1496),對應!D:D,對應!E:E,"未對應")</f>
        <v>1網通+技鋼</v>
      </c>
    </row>
    <row r="1497" spans="1:8" x14ac:dyDescent="0.4">
      <c r="A1497" t="s">
        <v>31</v>
      </c>
      <c r="B1497">
        <v>2025</v>
      </c>
      <c r="C1497">
        <v>7</v>
      </c>
      <c r="D1497" t="s">
        <v>17</v>
      </c>
      <c r="E1497" t="s">
        <v>18</v>
      </c>
      <c r="F1497">
        <v>-4277629</v>
      </c>
      <c r="G1497" s="3" t="s">
        <v>19</v>
      </c>
      <c r="H1497" t="str">
        <f>_xlfn.XLOOKUP(TRIM(D1497),對應!D:D,對應!E:E,"未對應")</f>
        <v>4筆電+盈嘉</v>
      </c>
    </row>
    <row r="1498" spans="1:8" x14ac:dyDescent="0.4">
      <c r="A1498" t="s">
        <v>23</v>
      </c>
      <c r="B1498">
        <v>2025</v>
      </c>
      <c r="C1498">
        <v>8</v>
      </c>
      <c r="D1498" t="s">
        <v>15</v>
      </c>
      <c r="E1498" t="s">
        <v>16</v>
      </c>
      <c r="F1498">
        <v>-1194093</v>
      </c>
      <c r="G1498" s="3" t="s">
        <v>16</v>
      </c>
      <c r="H1498" t="str">
        <f>_xlfn.XLOOKUP(TRIM(D1498),對應!D:D,對應!E:E,"未對應")</f>
        <v>7製造</v>
      </c>
    </row>
    <row r="1499" spans="1:8" x14ac:dyDescent="0.4">
      <c r="A1499" t="s">
        <v>23</v>
      </c>
      <c r="B1499">
        <v>2025</v>
      </c>
      <c r="C1499">
        <v>8</v>
      </c>
      <c r="D1499" t="s">
        <v>10</v>
      </c>
      <c r="E1499" t="s">
        <v>16</v>
      </c>
      <c r="F1499">
        <v>-44162</v>
      </c>
      <c r="G1499" s="3" t="s">
        <v>16</v>
      </c>
      <c r="H1499" t="str">
        <f>_xlfn.XLOOKUP(TRIM(D1499),對應!D:D,對應!E:E,"未對應")</f>
        <v>3通路方案</v>
      </c>
    </row>
    <row r="1500" spans="1:8" x14ac:dyDescent="0.4">
      <c r="A1500" t="s">
        <v>23</v>
      </c>
      <c r="B1500">
        <v>2025</v>
      </c>
      <c r="C1500">
        <v>8</v>
      </c>
      <c r="D1500" t="s">
        <v>15</v>
      </c>
      <c r="E1500" t="s">
        <v>16</v>
      </c>
      <c r="F1500">
        <v>-73022675</v>
      </c>
      <c r="G1500" s="3" t="s">
        <v>16</v>
      </c>
      <c r="H1500" t="str">
        <f>_xlfn.XLOOKUP(TRIM(D1500),對應!D:D,對應!E:E,"未對應")</f>
        <v>7製造</v>
      </c>
    </row>
    <row r="1501" spans="1:8" x14ac:dyDescent="0.4">
      <c r="A1501" t="s">
        <v>31</v>
      </c>
      <c r="B1501">
        <v>2025</v>
      </c>
      <c r="C1501">
        <v>11</v>
      </c>
      <c r="D1501" t="s">
        <v>10</v>
      </c>
      <c r="E1501" t="s">
        <v>16</v>
      </c>
      <c r="F1501">
        <v>-7081508</v>
      </c>
      <c r="G1501" s="3" t="s">
        <v>16</v>
      </c>
      <c r="H1501" t="str">
        <f>_xlfn.XLOOKUP(TRIM(D1501),對應!D:D,對應!E:E,"未對應")</f>
        <v>3通路方案</v>
      </c>
    </row>
    <row r="1502" spans="1:8" x14ac:dyDescent="0.4">
      <c r="A1502" t="s">
        <v>31</v>
      </c>
      <c r="B1502">
        <v>2025</v>
      </c>
      <c r="C1502">
        <v>11</v>
      </c>
      <c r="D1502" t="s">
        <v>32</v>
      </c>
      <c r="E1502" t="s">
        <v>16</v>
      </c>
      <c r="F1502">
        <v>-3405560</v>
      </c>
      <c r="G1502" s="3" t="s">
        <v>32</v>
      </c>
      <c r="H1502" t="str">
        <f>_xlfn.XLOOKUP(TRIM(D1502),對應!D:D,對應!E:E,"未對應")</f>
        <v>5百事益</v>
      </c>
    </row>
    <row r="1503" spans="1:8" x14ac:dyDescent="0.4">
      <c r="A1503" t="s">
        <v>31</v>
      </c>
      <c r="B1503">
        <v>2025</v>
      </c>
      <c r="C1503">
        <v>11</v>
      </c>
      <c r="D1503" t="s">
        <v>8</v>
      </c>
      <c r="E1503" t="s">
        <v>33</v>
      </c>
      <c r="F1503">
        <v>-20593221</v>
      </c>
      <c r="G1503" s="3" t="s">
        <v>9</v>
      </c>
      <c r="H1503" t="str">
        <f>_xlfn.XLOOKUP(TRIM(D1503),對應!D:D,對應!E:E,"未對應")</f>
        <v>1網通+技鋼</v>
      </c>
    </row>
    <row r="1504" spans="1:8" x14ac:dyDescent="0.4">
      <c r="A1504" t="s">
        <v>31</v>
      </c>
      <c r="B1504">
        <v>2025</v>
      </c>
      <c r="C1504">
        <v>11</v>
      </c>
      <c r="D1504" t="s">
        <v>8</v>
      </c>
      <c r="E1504" t="s">
        <v>33</v>
      </c>
      <c r="F1504">
        <v>-328779</v>
      </c>
      <c r="G1504" s="3" t="s">
        <v>9</v>
      </c>
      <c r="H1504" t="str">
        <f>_xlfn.XLOOKUP(TRIM(D1504),對應!D:D,對應!E:E,"未對應")</f>
        <v>1網通+技鋼</v>
      </c>
    </row>
    <row r="1505" spans="1:8" x14ac:dyDescent="0.4">
      <c r="A1505" t="s">
        <v>31</v>
      </c>
      <c r="B1505">
        <v>2025</v>
      </c>
      <c r="C1505">
        <v>11</v>
      </c>
      <c r="D1505" t="s">
        <v>32</v>
      </c>
      <c r="E1505" t="s">
        <v>16</v>
      </c>
      <c r="F1505">
        <v>-3276986</v>
      </c>
      <c r="G1505" s="3" t="s">
        <v>32</v>
      </c>
      <c r="H1505" t="str">
        <f>_xlfn.XLOOKUP(TRIM(D1505),對應!D:D,對應!E:E,"未對應")</f>
        <v>5百事益</v>
      </c>
    </row>
    <row r="1506" spans="1:8" x14ac:dyDescent="0.4">
      <c r="A1506" t="s">
        <v>31</v>
      </c>
      <c r="B1506">
        <v>2025</v>
      </c>
      <c r="C1506">
        <v>11</v>
      </c>
      <c r="D1506" t="s">
        <v>32</v>
      </c>
      <c r="E1506" t="s">
        <v>16</v>
      </c>
      <c r="F1506">
        <v>-13547127</v>
      </c>
      <c r="G1506" s="3" t="s">
        <v>32</v>
      </c>
      <c r="H1506" t="str">
        <f>_xlfn.XLOOKUP(TRIM(D1506),對應!D:D,對應!E:E,"未對應")</f>
        <v>5百事益</v>
      </c>
    </row>
    <row r="1507" spans="1:8" x14ac:dyDescent="0.4">
      <c r="A1507" t="s">
        <v>31</v>
      </c>
      <c r="B1507">
        <v>2025</v>
      </c>
      <c r="C1507">
        <v>11</v>
      </c>
      <c r="D1507" t="s">
        <v>32</v>
      </c>
      <c r="E1507" t="s">
        <v>16</v>
      </c>
      <c r="F1507">
        <v>-25126</v>
      </c>
      <c r="G1507" s="3" t="s">
        <v>32</v>
      </c>
      <c r="H1507" t="str">
        <f>_xlfn.XLOOKUP(TRIM(D1507),對應!D:D,對應!E:E,"未對應")</f>
        <v>5百事益</v>
      </c>
    </row>
    <row r="1508" spans="1:8" x14ac:dyDescent="0.4">
      <c r="A1508" t="s">
        <v>31</v>
      </c>
      <c r="B1508">
        <v>2025</v>
      </c>
      <c r="C1508">
        <v>11</v>
      </c>
      <c r="D1508" t="s">
        <v>17</v>
      </c>
      <c r="E1508" t="s">
        <v>18</v>
      </c>
      <c r="F1508">
        <v>-36747</v>
      </c>
      <c r="G1508" s="3" t="s">
        <v>19</v>
      </c>
      <c r="H1508" t="str">
        <f>_xlfn.XLOOKUP(TRIM(D1508),對應!D:D,對應!E:E,"未對應")</f>
        <v>4筆電+盈嘉</v>
      </c>
    </row>
    <row r="1509" spans="1:8" x14ac:dyDescent="0.4">
      <c r="A1509" t="s">
        <v>31</v>
      </c>
      <c r="B1509">
        <v>2025</v>
      </c>
      <c r="C1509">
        <v>11</v>
      </c>
      <c r="D1509" t="s">
        <v>10</v>
      </c>
      <c r="E1509" t="s">
        <v>27</v>
      </c>
      <c r="F1509">
        <v>-9422</v>
      </c>
      <c r="G1509" s="3" t="s">
        <v>28</v>
      </c>
      <c r="H1509" t="str">
        <f>_xlfn.XLOOKUP(TRIM(D1509),對應!D:D,對應!E:E,"未對應")</f>
        <v>3通路方案</v>
      </c>
    </row>
    <row r="1510" spans="1:8" x14ac:dyDescent="0.4">
      <c r="A1510" t="s">
        <v>31</v>
      </c>
      <c r="B1510">
        <v>2025</v>
      </c>
      <c r="C1510">
        <v>11</v>
      </c>
      <c r="D1510" t="s">
        <v>10</v>
      </c>
      <c r="E1510" t="s">
        <v>21</v>
      </c>
      <c r="F1510">
        <v>-236471</v>
      </c>
      <c r="G1510" s="3" t="s">
        <v>22</v>
      </c>
      <c r="H1510" t="str">
        <f>_xlfn.XLOOKUP(TRIM(D1510),對應!D:D,對應!E:E,"未對應")</f>
        <v>3通路方案</v>
      </c>
    </row>
    <row r="1511" spans="1:8" x14ac:dyDescent="0.4">
      <c r="A1511" t="s">
        <v>31</v>
      </c>
      <c r="B1511">
        <v>2025</v>
      </c>
      <c r="C1511">
        <v>11</v>
      </c>
      <c r="D1511" t="s">
        <v>8</v>
      </c>
      <c r="E1511" t="s">
        <v>33</v>
      </c>
      <c r="F1511">
        <v>-518012</v>
      </c>
      <c r="G1511" s="3" t="s">
        <v>9</v>
      </c>
      <c r="H1511" t="str">
        <f>_xlfn.XLOOKUP(TRIM(D1511),對應!D:D,對應!E:E,"未對應")</f>
        <v>1網通+技鋼</v>
      </c>
    </row>
    <row r="1512" spans="1:8" x14ac:dyDescent="0.4">
      <c r="A1512" t="s">
        <v>31</v>
      </c>
      <c r="B1512">
        <v>2025</v>
      </c>
      <c r="C1512">
        <v>11</v>
      </c>
      <c r="D1512" t="s">
        <v>17</v>
      </c>
      <c r="E1512" t="s">
        <v>18</v>
      </c>
      <c r="F1512">
        <v>-8492849</v>
      </c>
      <c r="G1512" s="3" t="s">
        <v>19</v>
      </c>
      <c r="H1512" t="str">
        <f>_xlfn.XLOOKUP(TRIM(D1512),對應!D:D,對應!E:E,"未對應")</f>
        <v>4筆電+盈嘉</v>
      </c>
    </row>
    <row r="1513" spans="1:8" x14ac:dyDescent="0.4">
      <c r="A1513" t="s">
        <v>31</v>
      </c>
      <c r="B1513">
        <v>2025</v>
      </c>
      <c r="C1513">
        <v>11</v>
      </c>
      <c r="D1513" t="s">
        <v>10</v>
      </c>
      <c r="E1513" t="s">
        <v>24</v>
      </c>
      <c r="F1513">
        <v>-12835539</v>
      </c>
      <c r="G1513" s="3" t="s">
        <v>14</v>
      </c>
      <c r="H1513" t="str">
        <f>_xlfn.XLOOKUP(TRIM(D1513),對應!D:D,對應!E:E,"未對應")</f>
        <v>3通路方案</v>
      </c>
    </row>
    <row r="1514" spans="1:8" x14ac:dyDescent="0.4">
      <c r="A1514" t="s">
        <v>31</v>
      </c>
      <c r="B1514">
        <v>2025</v>
      </c>
      <c r="C1514">
        <v>11</v>
      </c>
      <c r="D1514" t="s">
        <v>10</v>
      </c>
      <c r="E1514" t="s">
        <v>30</v>
      </c>
      <c r="F1514">
        <v>-100474</v>
      </c>
      <c r="G1514" s="3" t="s">
        <v>12</v>
      </c>
      <c r="H1514" t="str">
        <f>_xlfn.XLOOKUP(TRIM(D1514),對應!D:D,對應!E:E,"未對應")</f>
        <v>3通路方案</v>
      </c>
    </row>
    <row r="1515" spans="1:8" x14ac:dyDescent="0.4">
      <c r="A1515" t="s">
        <v>31</v>
      </c>
      <c r="B1515">
        <v>2025</v>
      </c>
      <c r="C1515">
        <v>11</v>
      </c>
      <c r="D1515" t="s">
        <v>10</v>
      </c>
      <c r="E1515" t="s">
        <v>25</v>
      </c>
      <c r="F1515">
        <v>-10679</v>
      </c>
      <c r="G1515" s="3" t="s">
        <v>14</v>
      </c>
      <c r="H1515" t="str">
        <f>_xlfn.XLOOKUP(TRIM(D1515),對應!D:D,對應!E:E,"未對應")</f>
        <v>3通路方案</v>
      </c>
    </row>
    <row r="1516" spans="1:8" x14ac:dyDescent="0.4">
      <c r="A1516" t="s">
        <v>31</v>
      </c>
      <c r="B1516">
        <v>2025</v>
      </c>
      <c r="C1516">
        <v>11</v>
      </c>
      <c r="D1516" t="s">
        <v>10</v>
      </c>
      <c r="E1516" t="s">
        <v>27</v>
      </c>
      <c r="F1516">
        <v>-3407485</v>
      </c>
      <c r="G1516" s="3" t="s">
        <v>28</v>
      </c>
      <c r="H1516" t="str">
        <f>_xlfn.XLOOKUP(TRIM(D1516),對應!D:D,對應!E:E,"未對應")</f>
        <v>3通路方案</v>
      </c>
    </row>
    <row r="1517" spans="1:8" x14ac:dyDescent="0.4">
      <c r="A1517" t="s">
        <v>31</v>
      </c>
      <c r="B1517">
        <v>2025</v>
      </c>
      <c r="C1517">
        <v>11</v>
      </c>
      <c r="D1517" t="s">
        <v>10</v>
      </c>
      <c r="E1517" t="s">
        <v>16</v>
      </c>
      <c r="F1517">
        <v>-390150</v>
      </c>
      <c r="G1517" s="3" t="s">
        <v>16</v>
      </c>
      <c r="H1517" t="str">
        <f>_xlfn.XLOOKUP(TRIM(D1517),對應!D:D,對應!E:E,"未對應")</f>
        <v>3通路方案</v>
      </c>
    </row>
    <row r="1518" spans="1:8" x14ac:dyDescent="0.4">
      <c r="A1518" t="s">
        <v>31</v>
      </c>
      <c r="B1518">
        <v>2025</v>
      </c>
      <c r="C1518">
        <v>11</v>
      </c>
      <c r="D1518" t="s">
        <v>10</v>
      </c>
      <c r="E1518" t="s">
        <v>47</v>
      </c>
      <c r="F1518">
        <v>-10082</v>
      </c>
      <c r="G1518" s="3" t="s">
        <v>14</v>
      </c>
      <c r="H1518" t="str">
        <f>_xlfn.XLOOKUP(TRIM(D1518),對應!D:D,對應!E:E,"未對應")</f>
        <v>3通路方案</v>
      </c>
    </row>
    <row r="1519" spans="1:8" x14ac:dyDescent="0.4">
      <c r="A1519" t="s">
        <v>31</v>
      </c>
      <c r="B1519">
        <v>2025</v>
      </c>
      <c r="C1519">
        <v>11</v>
      </c>
      <c r="D1519" t="s">
        <v>10</v>
      </c>
      <c r="E1519" t="s">
        <v>11</v>
      </c>
      <c r="F1519">
        <v>-844907</v>
      </c>
      <c r="G1519" s="3" t="s">
        <v>12</v>
      </c>
      <c r="H1519" t="str">
        <f>_xlfn.XLOOKUP(TRIM(D1519),對應!D:D,對應!E:E,"未對應")</f>
        <v>3通路方案</v>
      </c>
    </row>
    <row r="1520" spans="1:8" x14ac:dyDescent="0.4">
      <c r="A1520" t="s">
        <v>31</v>
      </c>
      <c r="B1520">
        <v>2025</v>
      </c>
      <c r="C1520">
        <v>11</v>
      </c>
      <c r="D1520" t="s">
        <v>10</v>
      </c>
      <c r="E1520" t="s">
        <v>26</v>
      </c>
      <c r="F1520">
        <v>-124533</v>
      </c>
      <c r="G1520" s="3" t="s">
        <v>14</v>
      </c>
      <c r="H1520" t="str">
        <f>_xlfn.XLOOKUP(TRIM(D1520),對應!D:D,對應!E:E,"未對應")</f>
        <v>3通路方案</v>
      </c>
    </row>
    <row r="1521" spans="1:8" x14ac:dyDescent="0.4">
      <c r="A1521" t="s">
        <v>31</v>
      </c>
      <c r="B1521">
        <v>2025</v>
      </c>
      <c r="C1521">
        <v>11</v>
      </c>
      <c r="D1521" t="s">
        <v>10</v>
      </c>
      <c r="E1521" t="s">
        <v>21</v>
      </c>
      <c r="F1521">
        <v>-13134417</v>
      </c>
      <c r="G1521" s="3" t="s">
        <v>22</v>
      </c>
      <c r="H1521" t="str">
        <f>_xlfn.XLOOKUP(TRIM(D1521),對應!D:D,對應!E:E,"未對應")</f>
        <v>3通路方案</v>
      </c>
    </row>
    <row r="1522" spans="1:8" x14ac:dyDescent="0.4">
      <c r="A1522" t="s">
        <v>31</v>
      </c>
      <c r="B1522">
        <v>2025</v>
      </c>
      <c r="C1522">
        <v>11</v>
      </c>
      <c r="D1522" t="s">
        <v>10</v>
      </c>
      <c r="E1522" t="s">
        <v>16</v>
      </c>
      <c r="F1522">
        <v>-729231</v>
      </c>
      <c r="G1522" s="3" t="s">
        <v>16</v>
      </c>
      <c r="H1522" t="str">
        <f>_xlfn.XLOOKUP(TRIM(D1522),對應!D:D,對應!E:E,"未對應")</f>
        <v>3通路方案</v>
      </c>
    </row>
    <row r="1523" spans="1:8" x14ac:dyDescent="0.4">
      <c r="A1523" t="s">
        <v>31</v>
      </c>
      <c r="B1523">
        <v>2025</v>
      </c>
      <c r="C1523">
        <v>11</v>
      </c>
      <c r="D1523" t="s">
        <v>32</v>
      </c>
      <c r="E1523" t="s">
        <v>16</v>
      </c>
      <c r="F1523">
        <v>-31408</v>
      </c>
      <c r="G1523" s="3" t="s">
        <v>32</v>
      </c>
      <c r="H1523" t="str">
        <f>_xlfn.XLOOKUP(TRIM(D1523),對應!D:D,對應!E:E,"未對應")</f>
        <v>5百事益</v>
      </c>
    </row>
    <row r="1524" spans="1:8" x14ac:dyDescent="0.4">
      <c r="A1524" t="s">
        <v>31</v>
      </c>
      <c r="B1524">
        <v>2025</v>
      </c>
      <c r="C1524">
        <v>11</v>
      </c>
      <c r="D1524" t="s">
        <v>32</v>
      </c>
      <c r="E1524" t="s">
        <v>16</v>
      </c>
      <c r="F1524">
        <v>-7355565</v>
      </c>
      <c r="G1524" s="3" t="s">
        <v>32</v>
      </c>
      <c r="H1524" t="str">
        <f>_xlfn.XLOOKUP(TRIM(D1524),對應!D:D,對應!E:E,"未對應")</f>
        <v>5百事益</v>
      </c>
    </row>
    <row r="1525" spans="1:8" x14ac:dyDescent="0.4">
      <c r="A1525" t="s">
        <v>31</v>
      </c>
      <c r="B1525">
        <v>2025</v>
      </c>
      <c r="C1525">
        <v>11</v>
      </c>
      <c r="D1525" t="s">
        <v>8</v>
      </c>
      <c r="E1525" t="s">
        <v>33</v>
      </c>
      <c r="F1525">
        <v>-52294</v>
      </c>
      <c r="G1525" s="3" t="s">
        <v>9</v>
      </c>
      <c r="H1525" t="str">
        <f>_xlfn.XLOOKUP(TRIM(D1525),對應!D:D,對應!E:E,"未對應")</f>
        <v>1網通+技鋼</v>
      </c>
    </row>
    <row r="1526" spans="1:8" x14ac:dyDescent="0.4">
      <c r="A1526" t="s">
        <v>31</v>
      </c>
      <c r="B1526">
        <v>2025</v>
      </c>
      <c r="C1526">
        <v>11</v>
      </c>
      <c r="D1526" t="s">
        <v>8</v>
      </c>
      <c r="E1526" t="s">
        <v>33</v>
      </c>
      <c r="F1526">
        <v>-9695964</v>
      </c>
      <c r="G1526" s="3" t="s">
        <v>9</v>
      </c>
      <c r="H1526" t="str">
        <f>_xlfn.XLOOKUP(TRIM(D1526),對應!D:D,對應!E:E,"未對應")</f>
        <v>1網通+技鋼</v>
      </c>
    </row>
    <row r="1527" spans="1:8" x14ac:dyDescent="0.4">
      <c r="A1527" t="s">
        <v>31</v>
      </c>
      <c r="B1527">
        <v>2025</v>
      </c>
      <c r="C1527">
        <v>11</v>
      </c>
      <c r="D1527" t="s">
        <v>32</v>
      </c>
      <c r="E1527" t="s">
        <v>16</v>
      </c>
      <c r="F1527">
        <v>-5598</v>
      </c>
      <c r="G1527" s="3" t="s">
        <v>32</v>
      </c>
      <c r="H1527" t="str">
        <f>_xlfn.XLOOKUP(TRIM(D1527),對應!D:D,對應!E:E,"未對應")</f>
        <v>5百事益</v>
      </c>
    </row>
    <row r="1528" spans="1:8" x14ac:dyDescent="0.4">
      <c r="A1528" t="s">
        <v>31</v>
      </c>
      <c r="B1528">
        <v>2025</v>
      </c>
      <c r="C1528">
        <v>11</v>
      </c>
      <c r="D1528" t="s">
        <v>32</v>
      </c>
      <c r="E1528" t="s">
        <v>16</v>
      </c>
      <c r="F1528">
        <v>-14231888</v>
      </c>
      <c r="G1528" s="3" t="s">
        <v>32</v>
      </c>
      <c r="H1528" t="str">
        <f>_xlfn.XLOOKUP(TRIM(D1528),對應!D:D,對應!E:E,"未對應")</f>
        <v>5百事益</v>
      </c>
    </row>
    <row r="1529" spans="1:8" x14ac:dyDescent="0.4">
      <c r="A1529" t="s">
        <v>31</v>
      </c>
      <c r="B1529">
        <v>2025</v>
      </c>
      <c r="C1529">
        <v>11</v>
      </c>
      <c r="D1529" t="s">
        <v>32</v>
      </c>
      <c r="E1529" t="s">
        <v>16</v>
      </c>
      <c r="F1529">
        <v>-148536</v>
      </c>
      <c r="G1529" s="3" t="s">
        <v>32</v>
      </c>
      <c r="H1529" t="str">
        <f>_xlfn.XLOOKUP(TRIM(D1529),對應!D:D,對應!E:E,"未對應")</f>
        <v>5百事益</v>
      </c>
    </row>
    <row r="1530" spans="1:8" x14ac:dyDescent="0.4">
      <c r="A1530" t="s">
        <v>31</v>
      </c>
      <c r="B1530">
        <v>2025</v>
      </c>
      <c r="C1530">
        <v>11</v>
      </c>
      <c r="D1530" t="s">
        <v>32</v>
      </c>
      <c r="E1530" t="s">
        <v>16</v>
      </c>
      <c r="F1530">
        <v>-213787</v>
      </c>
      <c r="G1530" s="3" t="s">
        <v>32</v>
      </c>
      <c r="H1530" t="str">
        <f>_xlfn.XLOOKUP(TRIM(D1530),對應!D:D,對應!E:E,"未對應")</f>
        <v>5百事益</v>
      </c>
    </row>
    <row r="1531" spans="1:8" x14ac:dyDescent="0.4">
      <c r="A1531" t="s">
        <v>36</v>
      </c>
      <c r="B1531">
        <v>2025</v>
      </c>
      <c r="C1531">
        <v>11</v>
      </c>
      <c r="D1531" t="s">
        <v>32</v>
      </c>
      <c r="E1531" t="s">
        <v>16</v>
      </c>
      <c r="F1531">
        <v>85363716</v>
      </c>
      <c r="G1531" s="3" t="s">
        <v>32</v>
      </c>
      <c r="H1531" t="str">
        <f>_xlfn.XLOOKUP(TRIM(D1531),對應!D:D,對應!E:E,"未對應")</f>
        <v>5百事益</v>
      </c>
    </row>
    <row r="1532" spans="1:8" x14ac:dyDescent="0.4">
      <c r="A1532" t="s">
        <v>36</v>
      </c>
      <c r="B1532">
        <v>2025</v>
      </c>
      <c r="C1532">
        <v>11</v>
      </c>
      <c r="D1532" t="s">
        <v>39</v>
      </c>
      <c r="E1532" t="s">
        <v>40</v>
      </c>
      <c r="F1532">
        <v>118368000</v>
      </c>
      <c r="G1532" s="3" t="s">
        <v>42</v>
      </c>
      <c r="H1532" t="str">
        <f>_xlfn.XLOOKUP(TRIM(D1532),對應!D:D,對應!E:E,"未對應")</f>
        <v>2技宸</v>
      </c>
    </row>
    <row r="1533" spans="1:8" x14ac:dyDescent="0.4">
      <c r="A1533" t="s">
        <v>36</v>
      </c>
      <c r="B1533">
        <v>2025</v>
      </c>
      <c r="C1533">
        <v>11</v>
      </c>
      <c r="D1533" t="s">
        <v>8</v>
      </c>
      <c r="E1533" t="s">
        <v>33</v>
      </c>
      <c r="F1533">
        <v>18116937777</v>
      </c>
      <c r="G1533" s="3" t="s">
        <v>9</v>
      </c>
      <c r="H1533" t="str">
        <f>_xlfn.XLOOKUP(TRIM(D1533),對應!D:D,對應!E:E,"未對應")</f>
        <v>1網通+技鋼</v>
      </c>
    </row>
    <row r="1534" spans="1:8" x14ac:dyDescent="0.4">
      <c r="A1534" t="s">
        <v>36</v>
      </c>
      <c r="B1534">
        <v>2025</v>
      </c>
      <c r="C1534">
        <v>11</v>
      </c>
      <c r="D1534" t="s">
        <v>17</v>
      </c>
      <c r="E1534" t="s">
        <v>18</v>
      </c>
      <c r="F1534">
        <v>177857216</v>
      </c>
      <c r="G1534" s="3" t="s">
        <v>19</v>
      </c>
      <c r="H1534" t="str">
        <f>_xlfn.XLOOKUP(TRIM(D1534),對應!D:D,對應!E:E,"未對應")</f>
        <v>4筆電+盈嘉</v>
      </c>
    </row>
    <row r="1535" spans="1:8" x14ac:dyDescent="0.4">
      <c r="A1535" t="s">
        <v>36</v>
      </c>
      <c r="B1535">
        <v>2025</v>
      </c>
      <c r="C1535">
        <v>11</v>
      </c>
      <c r="D1535" t="s">
        <v>15</v>
      </c>
      <c r="E1535" t="s">
        <v>16</v>
      </c>
      <c r="F1535">
        <v>2531163</v>
      </c>
      <c r="G1535" s="3" t="s">
        <v>16</v>
      </c>
      <c r="H1535" t="str">
        <f>_xlfn.XLOOKUP(TRIM(D1535),對應!D:D,對應!E:E,"未對應")</f>
        <v>7製造</v>
      </c>
    </row>
    <row r="1536" spans="1:8" x14ac:dyDescent="0.4">
      <c r="A1536" t="s">
        <v>36</v>
      </c>
      <c r="B1536">
        <v>2025</v>
      </c>
      <c r="C1536">
        <v>11</v>
      </c>
      <c r="D1536" t="s">
        <v>37</v>
      </c>
      <c r="E1536" t="s">
        <v>16</v>
      </c>
      <c r="F1536">
        <v>26493244</v>
      </c>
      <c r="G1536" s="3" t="s">
        <v>37</v>
      </c>
      <c r="H1536" t="str">
        <f>_xlfn.XLOOKUP(TRIM(D1536),對應!D:D,對應!E:E,"未對應")</f>
        <v>6雲城</v>
      </c>
    </row>
    <row r="1537" spans="1:8" x14ac:dyDescent="0.4">
      <c r="A1537" t="s">
        <v>36</v>
      </c>
      <c r="B1537">
        <v>2025</v>
      </c>
      <c r="C1537">
        <v>11</v>
      </c>
      <c r="D1537" t="s">
        <v>15</v>
      </c>
      <c r="E1537" t="s">
        <v>16</v>
      </c>
      <c r="F1537">
        <v>2010000</v>
      </c>
      <c r="G1537" s="3" t="s">
        <v>16</v>
      </c>
      <c r="H1537" t="str">
        <f>_xlfn.XLOOKUP(TRIM(D1537),對應!D:D,對應!E:E,"未對應")</f>
        <v>7製造</v>
      </c>
    </row>
    <row r="1538" spans="1:8" x14ac:dyDescent="0.4">
      <c r="A1538" t="s">
        <v>23</v>
      </c>
      <c r="B1538">
        <v>2025</v>
      </c>
      <c r="C1538">
        <v>11</v>
      </c>
      <c r="D1538" t="s">
        <v>10</v>
      </c>
      <c r="E1538" t="s">
        <v>26</v>
      </c>
      <c r="F1538">
        <v>-7183725</v>
      </c>
      <c r="G1538" s="3" t="s">
        <v>14</v>
      </c>
      <c r="H1538" t="str">
        <f>_xlfn.XLOOKUP(TRIM(D1538),對應!D:D,對應!E:E,"未對應")</f>
        <v>3通路方案</v>
      </c>
    </row>
    <row r="1539" spans="1:8" x14ac:dyDescent="0.4">
      <c r="A1539" t="s">
        <v>23</v>
      </c>
      <c r="B1539">
        <v>2025</v>
      </c>
      <c r="C1539">
        <v>11</v>
      </c>
      <c r="D1539" t="s">
        <v>17</v>
      </c>
      <c r="E1539" t="s">
        <v>18</v>
      </c>
      <c r="F1539">
        <v>-5820289</v>
      </c>
      <c r="G1539" s="3" t="s">
        <v>19</v>
      </c>
      <c r="H1539" t="str">
        <f>_xlfn.XLOOKUP(TRIM(D1539),對應!D:D,對應!E:E,"未對應")</f>
        <v>4筆電+盈嘉</v>
      </c>
    </row>
    <row r="1540" spans="1:8" x14ac:dyDescent="0.4">
      <c r="A1540" t="s">
        <v>23</v>
      </c>
      <c r="B1540">
        <v>2025</v>
      </c>
      <c r="C1540">
        <v>11</v>
      </c>
      <c r="D1540" t="s">
        <v>10</v>
      </c>
      <c r="E1540" t="s">
        <v>24</v>
      </c>
      <c r="F1540">
        <v>-17266499</v>
      </c>
      <c r="G1540" s="3" t="s">
        <v>14</v>
      </c>
      <c r="H1540" t="str">
        <f>_xlfn.XLOOKUP(TRIM(D1540),對應!D:D,對應!E:E,"未對應")</f>
        <v>3通路方案</v>
      </c>
    </row>
    <row r="1541" spans="1:8" x14ac:dyDescent="0.4">
      <c r="A1541" t="s">
        <v>23</v>
      </c>
      <c r="B1541">
        <v>2025</v>
      </c>
      <c r="C1541">
        <v>11</v>
      </c>
      <c r="D1541" t="s">
        <v>10</v>
      </c>
      <c r="E1541" t="s">
        <v>29</v>
      </c>
      <c r="F1541">
        <v>-416979</v>
      </c>
      <c r="G1541" s="3" t="s">
        <v>12</v>
      </c>
      <c r="H1541" t="str">
        <f>_xlfn.XLOOKUP(TRIM(D1541),對應!D:D,對應!E:E,"未對應")</f>
        <v>3通路方案</v>
      </c>
    </row>
    <row r="1542" spans="1:8" x14ac:dyDescent="0.4">
      <c r="A1542" t="s">
        <v>23</v>
      </c>
      <c r="B1542">
        <v>2025</v>
      </c>
      <c r="C1542">
        <v>11</v>
      </c>
      <c r="D1542" t="s">
        <v>10</v>
      </c>
      <c r="E1542" t="s">
        <v>30</v>
      </c>
      <c r="F1542">
        <v>-76962</v>
      </c>
      <c r="G1542" s="3" t="s">
        <v>12</v>
      </c>
      <c r="H1542" t="str">
        <f>_xlfn.XLOOKUP(TRIM(D1542),對應!D:D,對應!E:E,"未對應")</f>
        <v>3通路方案</v>
      </c>
    </row>
    <row r="1543" spans="1:8" x14ac:dyDescent="0.4">
      <c r="A1543" t="s">
        <v>23</v>
      </c>
      <c r="B1543">
        <v>2025</v>
      </c>
      <c r="C1543">
        <v>11</v>
      </c>
      <c r="D1543" t="s">
        <v>10</v>
      </c>
      <c r="E1543" t="s">
        <v>20</v>
      </c>
      <c r="F1543">
        <v>-368081</v>
      </c>
      <c r="G1543" s="3" t="s">
        <v>12</v>
      </c>
      <c r="H1543" t="str">
        <f>_xlfn.XLOOKUP(TRIM(D1543),對應!D:D,對應!E:E,"未對應")</f>
        <v>3通路方案</v>
      </c>
    </row>
    <row r="1544" spans="1:8" x14ac:dyDescent="0.4">
      <c r="A1544" t="s">
        <v>23</v>
      </c>
      <c r="B1544">
        <v>2025</v>
      </c>
      <c r="C1544">
        <v>11</v>
      </c>
      <c r="D1544" t="s">
        <v>10</v>
      </c>
      <c r="E1544" t="s">
        <v>27</v>
      </c>
      <c r="F1544">
        <v>-8935015</v>
      </c>
      <c r="G1544" s="3" t="s">
        <v>28</v>
      </c>
      <c r="H1544" t="str">
        <f>_xlfn.XLOOKUP(TRIM(D1544),對應!D:D,對應!E:E,"未對應")</f>
        <v>3通路方案</v>
      </c>
    </row>
    <row r="1545" spans="1:8" x14ac:dyDescent="0.4">
      <c r="A1545" t="s">
        <v>23</v>
      </c>
      <c r="B1545">
        <v>2025</v>
      </c>
      <c r="C1545">
        <v>11</v>
      </c>
      <c r="D1545" t="s">
        <v>10</v>
      </c>
      <c r="E1545" t="s">
        <v>16</v>
      </c>
      <c r="F1545">
        <v>30625</v>
      </c>
      <c r="G1545" s="3" t="s">
        <v>16</v>
      </c>
      <c r="H1545" t="str">
        <f>_xlfn.XLOOKUP(TRIM(D1545),對應!D:D,對應!E:E,"未對應")</f>
        <v>3通路方案</v>
      </c>
    </row>
    <row r="1546" spans="1:8" x14ac:dyDescent="0.4">
      <c r="A1546" t="s">
        <v>23</v>
      </c>
      <c r="B1546">
        <v>2025</v>
      </c>
      <c r="C1546">
        <v>11</v>
      </c>
      <c r="D1546" t="s">
        <v>10</v>
      </c>
      <c r="E1546" t="s">
        <v>38</v>
      </c>
      <c r="F1546">
        <v>61498</v>
      </c>
      <c r="G1546" s="3" t="s">
        <v>12</v>
      </c>
      <c r="H1546" t="str">
        <f>_xlfn.XLOOKUP(TRIM(D1546),對應!D:D,對應!E:E,"未對應")</f>
        <v>3通路方案</v>
      </c>
    </row>
    <row r="1547" spans="1:8" x14ac:dyDescent="0.4">
      <c r="A1547" t="s">
        <v>23</v>
      </c>
      <c r="B1547">
        <v>2025</v>
      </c>
      <c r="C1547">
        <v>11</v>
      </c>
      <c r="D1547" t="s">
        <v>10</v>
      </c>
      <c r="E1547" t="s">
        <v>11</v>
      </c>
      <c r="F1547">
        <v>-1198321</v>
      </c>
      <c r="G1547" s="3" t="s">
        <v>12</v>
      </c>
      <c r="H1547" t="str">
        <f>_xlfn.XLOOKUP(TRIM(D1547),對應!D:D,對應!E:E,"未對應")</f>
        <v>3通路方案</v>
      </c>
    </row>
    <row r="1548" spans="1:8" x14ac:dyDescent="0.4">
      <c r="A1548" t="s">
        <v>23</v>
      </c>
      <c r="B1548">
        <v>2025</v>
      </c>
      <c r="C1548">
        <v>11</v>
      </c>
      <c r="D1548" t="s">
        <v>10</v>
      </c>
      <c r="E1548" t="s">
        <v>26</v>
      </c>
      <c r="F1548">
        <v>-260509</v>
      </c>
      <c r="G1548" s="3" t="s">
        <v>14</v>
      </c>
      <c r="H1548" t="str">
        <f>_xlfn.XLOOKUP(TRIM(D1548),對應!D:D,對應!E:E,"未對應")</f>
        <v>3通路方案</v>
      </c>
    </row>
    <row r="1549" spans="1:8" x14ac:dyDescent="0.4">
      <c r="A1549" t="s">
        <v>23</v>
      </c>
      <c r="B1549">
        <v>2025</v>
      </c>
      <c r="C1549">
        <v>11</v>
      </c>
      <c r="D1549" t="s">
        <v>10</v>
      </c>
      <c r="E1549" t="s">
        <v>21</v>
      </c>
      <c r="F1549">
        <v>-62888046</v>
      </c>
      <c r="G1549" s="3" t="s">
        <v>22</v>
      </c>
      <c r="H1549" t="str">
        <f>_xlfn.XLOOKUP(TRIM(D1549),對應!D:D,對應!E:E,"未對應")</f>
        <v>3通路方案</v>
      </c>
    </row>
    <row r="1550" spans="1:8" x14ac:dyDescent="0.4">
      <c r="A1550" t="s">
        <v>23</v>
      </c>
      <c r="B1550">
        <v>2025</v>
      </c>
      <c r="C1550">
        <v>11</v>
      </c>
      <c r="D1550" t="s">
        <v>15</v>
      </c>
      <c r="E1550" t="s">
        <v>16</v>
      </c>
      <c r="F1550">
        <v>-1861115</v>
      </c>
      <c r="G1550" s="3" t="s">
        <v>16</v>
      </c>
      <c r="H1550" t="str">
        <f>_xlfn.XLOOKUP(TRIM(D1550),對應!D:D,對應!E:E,"未對應")</f>
        <v>7製造</v>
      </c>
    </row>
    <row r="1551" spans="1:8" x14ac:dyDescent="0.4">
      <c r="A1551" t="s">
        <v>23</v>
      </c>
      <c r="B1551">
        <v>2025</v>
      </c>
      <c r="C1551">
        <v>11</v>
      </c>
      <c r="D1551" t="s">
        <v>17</v>
      </c>
      <c r="E1551" t="s">
        <v>18</v>
      </c>
      <c r="F1551">
        <v>-263</v>
      </c>
      <c r="G1551" s="3" t="s">
        <v>19</v>
      </c>
      <c r="H1551" t="str">
        <f>_xlfn.XLOOKUP(TRIM(D1551),對應!D:D,對應!E:E,"未對應")</f>
        <v>4筆電+盈嘉</v>
      </c>
    </row>
    <row r="1552" spans="1:8" x14ac:dyDescent="0.4">
      <c r="A1552" t="s">
        <v>23</v>
      </c>
      <c r="B1552">
        <v>2025</v>
      </c>
      <c r="C1552">
        <v>11</v>
      </c>
      <c r="D1552" t="s">
        <v>10</v>
      </c>
      <c r="E1552" t="s">
        <v>16</v>
      </c>
      <c r="F1552">
        <v>-4082160</v>
      </c>
      <c r="G1552" s="3" t="s">
        <v>16</v>
      </c>
      <c r="H1552" t="str">
        <f>_xlfn.XLOOKUP(TRIM(D1552),對應!D:D,對應!E:E,"未對應")</f>
        <v>3通路方案</v>
      </c>
    </row>
    <row r="1553" spans="1:8" x14ac:dyDescent="0.4">
      <c r="A1553" t="s">
        <v>23</v>
      </c>
      <c r="B1553">
        <v>2025</v>
      </c>
      <c r="C1553">
        <v>11</v>
      </c>
      <c r="D1553" t="s">
        <v>15</v>
      </c>
      <c r="E1553" t="s">
        <v>16</v>
      </c>
      <c r="F1553">
        <v>-67560</v>
      </c>
      <c r="G1553" s="3" t="s">
        <v>16</v>
      </c>
      <c r="H1553" t="str">
        <f>_xlfn.XLOOKUP(TRIM(D1553),對應!D:D,對應!E:E,"未對應")</f>
        <v>7製造</v>
      </c>
    </row>
    <row r="1554" spans="1:8" x14ac:dyDescent="0.4">
      <c r="A1554" t="s">
        <v>44</v>
      </c>
      <c r="B1554">
        <v>2025</v>
      </c>
      <c r="C1554">
        <v>11</v>
      </c>
      <c r="D1554" t="s">
        <v>32</v>
      </c>
      <c r="F1554">
        <v>481838</v>
      </c>
      <c r="G1554" s="3" t="s">
        <v>32</v>
      </c>
      <c r="H1554" t="str">
        <f>_xlfn.XLOOKUP(TRIM(D1554),對應!D:D,對應!E:E,"未對應")</f>
        <v>5百事益</v>
      </c>
    </row>
    <row r="1555" spans="1:8" x14ac:dyDescent="0.4">
      <c r="A1555" t="s">
        <v>44</v>
      </c>
      <c r="B1555">
        <v>2025</v>
      </c>
      <c r="C1555">
        <v>11</v>
      </c>
      <c r="D1555" t="s">
        <v>32</v>
      </c>
      <c r="F1555">
        <v>15338165</v>
      </c>
      <c r="G1555" s="3" t="s">
        <v>32</v>
      </c>
      <c r="H1555" t="str">
        <f>_xlfn.XLOOKUP(TRIM(D1555),對應!D:D,對應!E:E,"未對應")</f>
        <v>5百事益</v>
      </c>
    </row>
    <row r="1556" spans="1:8" x14ac:dyDescent="0.4">
      <c r="A1556" t="s">
        <v>31</v>
      </c>
      <c r="B1556">
        <v>2025</v>
      </c>
      <c r="C1556">
        <v>11</v>
      </c>
      <c r="D1556" t="s">
        <v>32</v>
      </c>
      <c r="E1556" t="s">
        <v>16</v>
      </c>
      <c r="F1556">
        <v>-1856159</v>
      </c>
      <c r="G1556" s="3" t="s">
        <v>32</v>
      </c>
      <c r="H1556" t="str">
        <f>_xlfn.XLOOKUP(TRIM(D1556),對應!D:D,對應!E:E,"未對應")</f>
        <v>5百事益</v>
      </c>
    </row>
    <row r="1557" spans="1:8" x14ac:dyDescent="0.4">
      <c r="A1557" t="s">
        <v>31</v>
      </c>
      <c r="B1557">
        <v>2025</v>
      </c>
      <c r="C1557">
        <v>11</v>
      </c>
      <c r="D1557" t="s">
        <v>10</v>
      </c>
      <c r="E1557" t="s">
        <v>21</v>
      </c>
      <c r="F1557">
        <v>-101974</v>
      </c>
      <c r="G1557" s="3" t="s">
        <v>22</v>
      </c>
      <c r="H1557" t="str">
        <f>_xlfn.XLOOKUP(TRIM(D1557),對應!D:D,對應!E:E,"未對應")</f>
        <v>3通路方案</v>
      </c>
    </row>
    <row r="1558" spans="1:8" x14ac:dyDescent="0.4">
      <c r="A1558" t="s">
        <v>31</v>
      </c>
      <c r="B1558">
        <v>2025</v>
      </c>
      <c r="C1558">
        <v>11</v>
      </c>
      <c r="D1558" t="s">
        <v>32</v>
      </c>
      <c r="E1558" t="s">
        <v>16</v>
      </c>
      <c r="F1558">
        <v>-502754</v>
      </c>
      <c r="G1558" s="3" t="s">
        <v>32</v>
      </c>
      <c r="H1558" t="str">
        <f>_xlfn.XLOOKUP(TRIM(D1558),對應!D:D,對應!E:E,"未對應")</f>
        <v>5百事益</v>
      </c>
    </row>
    <row r="1559" spans="1:8" x14ac:dyDescent="0.4">
      <c r="A1559" t="s">
        <v>31</v>
      </c>
      <c r="B1559">
        <v>2025</v>
      </c>
      <c r="C1559">
        <v>11</v>
      </c>
      <c r="D1559" t="s">
        <v>10</v>
      </c>
      <c r="E1559" t="s">
        <v>24</v>
      </c>
      <c r="F1559">
        <v>-2154754</v>
      </c>
      <c r="G1559" s="3" t="s">
        <v>14</v>
      </c>
      <c r="H1559" t="str">
        <f>_xlfn.XLOOKUP(TRIM(D1559),對應!D:D,對應!E:E,"未對應")</f>
        <v>3通路方案</v>
      </c>
    </row>
    <row r="1560" spans="1:8" x14ac:dyDescent="0.4">
      <c r="A1560" t="s">
        <v>31</v>
      </c>
      <c r="B1560">
        <v>2025</v>
      </c>
      <c r="C1560">
        <v>11</v>
      </c>
      <c r="D1560" t="s">
        <v>10</v>
      </c>
      <c r="E1560" t="s">
        <v>21</v>
      </c>
      <c r="F1560">
        <v>-5601109</v>
      </c>
      <c r="G1560" s="3" t="s">
        <v>22</v>
      </c>
      <c r="H1560" t="str">
        <f>_xlfn.XLOOKUP(TRIM(D1560),對應!D:D,對應!E:E,"未對應")</f>
        <v>3通路方案</v>
      </c>
    </row>
    <row r="1561" spans="1:8" x14ac:dyDescent="0.4">
      <c r="A1561" t="s">
        <v>31</v>
      </c>
      <c r="B1561">
        <v>2025</v>
      </c>
      <c r="C1561">
        <v>11</v>
      </c>
      <c r="D1561" t="s">
        <v>10</v>
      </c>
      <c r="E1561" t="s">
        <v>16</v>
      </c>
      <c r="F1561">
        <v>-1342158</v>
      </c>
      <c r="G1561" s="3" t="s">
        <v>16</v>
      </c>
      <c r="H1561" t="str">
        <f>_xlfn.XLOOKUP(TRIM(D1561),對應!D:D,對應!E:E,"未對應")</f>
        <v>3通路方案</v>
      </c>
    </row>
    <row r="1562" spans="1:8" x14ac:dyDescent="0.4">
      <c r="A1562" t="s">
        <v>7</v>
      </c>
      <c r="B1562">
        <v>2026</v>
      </c>
      <c r="C1562">
        <v>1</v>
      </c>
      <c r="D1562" t="s">
        <v>15</v>
      </c>
      <c r="E1562" t="s">
        <v>16</v>
      </c>
      <c r="F1562">
        <v>8029969</v>
      </c>
      <c r="G1562" s="3" t="s">
        <v>16</v>
      </c>
      <c r="H1562" t="str">
        <f>_xlfn.XLOOKUP(TRIM(D1562),對應!D:D,對應!E:E,"未對應")</f>
        <v>7製造</v>
      </c>
    </row>
    <row r="1563" spans="1:8" x14ac:dyDescent="0.4">
      <c r="A1563" t="s">
        <v>7</v>
      </c>
      <c r="B1563">
        <v>2026</v>
      </c>
      <c r="C1563">
        <v>1</v>
      </c>
      <c r="D1563" t="s">
        <v>17</v>
      </c>
      <c r="E1563" t="s">
        <v>18</v>
      </c>
      <c r="F1563">
        <v>500635855</v>
      </c>
      <c r="G1563" s="3" t="s">
        <v>19</v>
      </c>
      <c r="H1563" t="str">
        <f>_xlfn.XLOOKUP(TRIM(D1563),對應!D:D,對應!E:E,"未對應")</f>
        <v>4筆電+盈嘉</v>
      </c>
    </row>
    <row r="1564" spans="1:8" x14ac:dyDescent="0.4">
      <c r="A1564" t="s">
        <v>7</v>
      </c>
      <c r="B1564">
        <v>2026</v>
      </c>
      <c r="C1564">
        <v>1</v>
      </c>
      <c r="D1564" t="s">
        <v>10</v>
      </c>
      <c r="E1564" t="s">
        <v>24</v>
      </c>
      <c r="F1564">
        <v>2398928046</v>
      </c>
      <c r="G1564" s="3" t="s">
        <v>14</v>
      </c>
      <c r="H1564" t="str">
        <f>_xlfn.XLOOKUP(TRIM(D1564),對應!D:D,對應!E:E,"未對應")</f>
        <v>3通路方案</v>
      </c>
    </row>
    <row r="1565" spans="1:8" x14ac:dyDescent="0.4">
      <c r="A1565" t="s">
        <v>7</v>
      </c>
      <c r="B1565">
        <v>2026</v>
      </c>
      <c r="C1565">
        <v>1</v>
      </c>
      <c r="D1565" t="s">
        <v>10</v>
      </c>
      <c r="E1565" t="s">
        <v>29</v>
      </c>
      <c r="F1565">
        <v>55517400</v>
      </c>
      <c r="G1565" s="3" t="s">
        <v>12</v>
      </c>
      <c r="H1565" t="str">
        <f>_xlfn.XLOOKUP(TRIM(D1565),對應!D:D,對應!E:E,"未對應")</f>
        <v>3通路方案</v>
      </c>
    </row>
    <row r="1566" spans="1:8" x14ac:dyDescent="0.4">
      <c r="A1566" t="s">
        <v>7</v>
      </c>
      <c r="B1566">
        <v>2026</v>
      </c>
      <c r="C1566">
        <v>1</v>
      </c>
      <c r="D1566" t="s">
        <v>10</v>
      </c>
      <c r="E1566" t="s">
        <v>30</v>
      </c>
      <c r="F1566">
        <v>11008612</v>
      </c>
      <c r="G1566" s="3" t="s">
        <v>12</v>
      </c>
      <c r="H1566" t="str">
        <f>_xlfn.XLOOKUP(TRIM(D1566),對應!D:D,對應!E:E,"未對應")</f>
        <v>3通路方案</v>
      </c>
    </row>
    <row r="1567" spans="1:8" x14ac:dyDescent="0.4">
      <c r="A1567" t="s">
        <v>7</v>
      </c>
      <c r="B1567">
        <v>2026</v>
      </c>
      <c r="C1567">
        <v>1</v>
      </c>
      <c r="D1567" t="s">
        <v>10</v>
      </c>
      <c r="E1567" t="s">
        <v>20</v>
      </c>
      <c r="F1567">
        <v>12218333</v>
      </c>
      <c r="G1567" s="3" t="s">
        <v>12</v>
      </c>
      <c r="H1567" t="str">
        <f>_xlfn.XLOOKUP(TRIM(D1567),對應!D:D,對應!E:E,"未對應")</f>
        <v>3通路方案</v>
      </c>
    </row>
    <row r="1568" spans="1:8" x14ac:dyDescent="0.4">
      <c r="A1568" t="s">
        <v>7</v>
      </c>
      <c r="B1568">
        <v>2026</v>
      </c>
      <c r="C1568">
        <v>1</v>
      </c>
      <c r="D1568" t="s">
        <v>10</v>
      </c>
      <c r="E1568" t="s">
        <v>25</v>
      </c>
      <c r="F1568">
        <v>860167</v>
      </c>
      <c r="G1568" s="3" t="s">
        <v>14</v>
      </c>
      <c r="H1568" t="str">
        <f>_xlfn.XLOOKUP(TRIM(D1568),對應!D:D,對應!E:E,"未對應")</f>
        <v>3通路方案</v>
      </c>
    </row>
    <row r="1569" spans="1:8" x14ac:dyDescent="0.4">
      <c r="A1569" t="s">
        <v>7</v>
      </c>
      <c r="B1569">
        <v>2026</v>
      </c>
      <c r="C1569">
        <v>1</v>
      </c>
      <c r="D1569" t="s">
        <v>10</v>
      </c>
      <c r="E1569" t="s">
        <v>27</v>
      </c>
      <c r="F1569">
        <v>312593081</v>
      </c>
      <c r="G1569" s="3" t="s">
        <v>28</v>
      </c>
      <c r="H1569" t="str">
        <f>_xlfn.XLOOKUP(TRIM(D1569),對應!D:D,對應!E:E,"未對應")</f>
        <v>3通路方案</v>
      </c>
    </row>
    <row r="1570" spans="1:8" x14ac:dyDescent="0.4">
      <c r="A1570" t="s">
        <v>7</v>
      </c>
      <c r="B1570">
        <v>2026</v>
      </c>
      <c r="C1570">
        <v>1</v>
      </c>
      <c r="D1570" t="s">
        <v>10</v>
      </c>
      <c r="E1570" t="s">
        <v>16</v>
      </c>
      <c r="F1570">
        <v>5910753</v>
      </c>
      <c r="G1570" s="3" t="s">
        <v>16</v>
      </c>
      <c r="H1570" t="str">
        <f>_xlfn.XLOOKUP(TRIM(D1570),對應!D:D,對應!E:E,"未對應")</f>
        <v>3通路方案</v>
      </c>
    </row>
    <row r="1571" spans="1:8" x14ac:dyDescent="0.4">
      <c r="A1571" t="s">
        <v>7</v>
      </c>
      <c r="B1571">
        <v>2026</v>
      </c>
      <c r="C1571">
        <v>1</v>
      </c>
      <c r="D1571" t="s">
        <v>10</v>
      </c>
      <c r="E1571" t="s">
        <v>38</v>
      </c>
      <c r="F1571">
        <v>25882881</v>
      </c>
      <c r="G1571" s="3" t="s">
        <v>12</v>
      </c>
      <c r="H1571" t="str">
        <f>_xlfn.XLOOKUP(TRIM(D1571),對應!D:D,對應!E:E,"未對應")</f>
        <v>3通路方案</v>
      </c>
    </row>
    <row r="1572" spans="1:8" x14ac:dyDescent="0.4">
      <c r="A1572" t="s">
        <v>7</v>
      </c>
      <c r="B1572">
        <v>2026</v>
      </c>
      <c r="C1572">
        <v>1</v>
      </c>
      <c r="D1572" t="s">
        <v>10</v>
      </c>
      <c r="E1572" t="s">
        <v>11</v>
      </c>
      <c r="F1572">
        <v>143327626</v>
      </c>
      <c r="G1572" s="3" t="s">
        <v>12</v>
      </c>
      <c r="H1572" t="str">
        <f>_xlfn.XLOOKUP(TRIM(D1572),對應!D:D,對應!E:E,"未對應")</f>
        <v>3通路方案</v>
      </c>
    </row>
    <row r="1573" spans="1:8" x14ac:dyDescent="0.4">
      <c r="A1573" t="s">
        <v>7</v>
      </c>
      <c r="B1573">
        <v>2026</v>
      </c>
      <c r="C1573">
        <v>1</v>
      </c>
      <c r="D1573" t="s">
        <v>10</v>
      </c>
      <c r="E1573" t="s">
        <v>13</v>
      </c>
      <c r="F1573">
        <v>1138797</v>
      </c>
      <c r="G1573" s="3" t="s">
        <v>14</v>
      </c>
      <c r="H1573" t="str">
        <f>_xlfn.XLOOKUP(TRIM(D1573),對應!D:D,對應!E:E,"未對應")</f>
        <v>3通路方案</v>
      </c>
    </row>
    <row r="1574" spans="1:8" x14ac:dyDescent="0.4">
      <c r="A1574" t="s">
        <v>7</v>
      </c>
      <c r="B1574">
        <v>2026</v>
      </c>
      <c r="C1574">
        <v>1</v>
      </c>
      <c r="D1574" t="s">
        <v>10</v>
      </c>
      <c r="E1574" t="s">
        <v>26</v>
      </c>
      <c r="F1574">
        <v>82682594</v>
      </c>
      <c r="G1574" s="3" t="s">
        <v>14</v>
      </c>
      <c r="H1574" t="str">
        <f>_xlfn.XLOOKUP(TRIM(D1574),對應!D:D,對應!E:E,"未對應")</f>
        <v>3通路方案</v>
      </c>
    </row>
    <row r="1575" spans="1:8" x14ac:dyDescent="0.4">
      <c r="A1575" t="s">
        <v>7</v>
      </c>
      <c r="B1575">
        <v>2026</v>
      </c>
      <c r="C1575">
        <v>1</v>
      </c>
      <c r="D1575" t="s">
        <v>10</v>
      </c>
      <c r="E1575" t="s">
        <v>21</v>
      </c>
      <c r="F1575">
        <v>7651933485</v>
      </c>
      <c r="G1575" s="3" t="s">
        <v>22</v>
      </c>
      <c r="H1575" t="str">
        <f>_xlfn.XLOOKUP(TRIM(D1575),對應!D:D,對應!E:E,"未對應")</f>
        <v>3通路方案</v>
      </c>
    </row>
    <row r="1576" spans="1:8" x14ac:dyDescent="0.4">
      <c r="A1576" t="s">
        <v>7</v>
      </c>
      <c r="B1576">
        <v>2026</v>
      </c>
      <c r="C1576">
        <v>1</v>
      </c>
      <c r="D1576" t="s">
        <v>8</v>
      </c>
      <c r="E1576" t="s">
        <v>33</v>
      </c>
      <c r="F1576">
        <v>-39472</v>
      </c>
      <c r="G1576" s="3" t="s">
        <v>9</v>
      </c>
      <c r="H1576" t="str">
        <f>_xlfn.XLOOKUP(TRIM(D1576),對應!D:D,對應!E:E,"未對應")</f>
        <v>1網通+技鋼</v>
      </c>
    </row>
    <row r="1577" spans="1:8" x14ac:dyDescent="0.4">
      <c r="A1577" t="s">
        <v>7</v>
      </c>
      <c r="B1577">
        <v>2026</v>
      </c>
      <c r="C1577">
        <v>1</v>
      </c>
      <c r="D1577" t="s">
        <v>15</v>
      </c>
      <c r="E1577" t="s">
        <v>16</v>
      </c>
      <c r="F1577">
        <v>81656772</v>
      </c>
      <c r="G1577" s="3" t="s">
        <v>16</v>
      </c>
      <c r="H1577" t="str">
        <f>_xlfn.XLOOKUP(TRIM(D1577),對應!D:D,對應!E:E,"未對應")</f>
        <v>7製造</v>
      </c>
    </row>
    <row r="1578" spans="1:8" x14ac:dyDescent="0.4">
      <c r="A1578" t="s">
        <v>23</v>
      </c>
      <c r="B1578">
        <v>2026</v>
      </c>
      <c r="C1578">
        <v>1</v>
      </c>
      <c r="D1578" t="s">
        <v>10</v>
      </c>
      <c r="E1578" t="s">
        <v>26</v>
      </c>
      <c r="F1578">
        <v>-113319</v>
      </c>
      <c r="G1578" s="3" t="s">
        <v>14</v>
      </c>
      <c r="H1578" t="str">
        <f>_xlfn.XLOOKUP(TRIM(D1578),對應!D:D,對應!E:E,"未對應")</f>
        <v>3通路方案</v>
      </c>
    </row>
    <row r="1579" spans="1:8" x14ac:dyDescent="0.4">
      <c r="A1579" t="s">
        <v>23</v>
      </c>
      <c r="B1579">
        <v>2026</v>
      </c>
      <c r="C1579">
        <v>1</v>
      </c>
      <c r="D1579" t="s">
        <v>10</v>
      </c>
      <c r="E1579" t="s">
        <v>24</v>
      </c>
      <c r="F1579">
        <v>-742137798</v>
      </c>
      <c r="G1579" s="3" t="s">
        <v>14</v>
      </c>
      <c r="H1579" t="str">
        <f>_xlfn.XLOOKUP(TRIM(D1579),對應!D:D,對應!E:E,"未對應")</f>
        <v>3通路方案</v>
      </c>
    </row>
    <row r="1580" spans="1:8" x14ac:dyDescent="0.4">
      <c r="A1580" t="s">
        <v>23</v>
      </c>
      <c r="B1580">
        <v>2026</v>
      </c>
      <c r="C1580">
        <v>1</v>
      </c>
      <c r="D1580" t="s">
        <v>10</v>
      </c>
      <c r="E1580" t="s">
        <v>29</v>
      </c>
      <c r="F1580">
        <v>-32262685</v>
      </c>
      <c r="G1580" s="3" t="s">
        <v>12</v>
      </c>
      <c r="H1580" t="str">
        <f>_xlfn.XLOOKUP(TRIM(D1580),對應!D:D,對應!E:E,"未對應")</f>
        <v>3通路方案</v>
      </c>
    </row>
    <row r="1581" spans="1:8" x14ac:dyDescent="0.4">
      <c r="A1581" t="s">
        <v>23</v>
      </c>
      <c r="B1581">
        <v>2026</v>
      </c>
      <c r="C1581">
        <v>1</v>
      </c>
      <c r="D1581" t="s">
        <v>10</v>
      </c>
      <c r="E1581" t="s">
        <v>20</v>
      </c>
      <c r="F1581">
        <v>-89938</v>
      </c>
      <c r="G1581" s="3" t="s">
        <v>12</v>
      </c>
      <c r="H1581" t="str">
        <f>_xlfn.XLOOKUP(TRIM(D1581),對應!D:D,對應!E:E,"未對應")</f>
        <v>3通路方案</v>
      </c>
    </row>
    <row r="1582" spans="1:8" x14ac:dyDescent="0.4">
      <c r="A1582" t="s">
        <v>23</v>
      </c>
      <c r="B1582">
        <v>2026</v>
      </c>
      <c r="C1582">
        <v>1</v>
      </c>
      <c r="D1582" t="s">
        <v>10</v>
      </c>
      <c r="E1582" t="s">
        <v>11</v>
      </c>
      <c r="F1582">
        <v>-1015741</v>
      </c>
      <c r="G1582" s="3" t="s">
        <v>12</v>
      </c>
      <c r="H1582" t="str">
        <f>_xlfn.XLOOKUP(TRIM(D1582),對應!D:D,對應!E:E,"未對應")</f>
        <v>3通路方案</v>
      </c>
    </row>
    <row r="1583" spans="1:8" x14ac:dyDescent="0.4">
      <c r="A1583" t="s">
        <v>23</v>
      </c>
      <c r="B1583">
        <v>2026</v>
      </c>
      <c r="C1583">
        <v>1</v>
      </c>
      <c r="D1583" t="s">
        <v>10</v>
      </c>
      <c r="E1583" t="s">
        <v>26</v>
      </c>
      <c r="F1583">
        <v>-11263201</v>
      </c>
      <c r="G1583" s="3" t="s">
        <v>14</v>
      </c>
      <c r="H1583" t="str">
        <f>_xlfn.XLOOKUP(TRIM(D1583),對應!D:D,對應!E:E,"未對應")</f>
        <v>3通路方案</v>
      </c>
    </row>
    <row r="1584" spans="1:8" x14ac:dyDescent="0.4">
      <c r="A1584" t="s">
        <v>23</v>
      </c>
      <c r="B1584">
        <v>2026</v>
      </c>
      <c r="C1584">
        <v>1</v>
      </c>
      <c r="D1584" t="s">
        <v>10</v>
      </c>
      <c r="E1584" t="s">
        <v>21</v>
      </c>
      <c r="F1584">
        <v>-2215369121</v>
      </c>
      <c r="G1584" s="3" t="s">
        <v>22</v>
      </c>
      <c r="H1584" t="str">
        <f>_xlfn.XLOOKUP(TRIM(D1584),對應!D:D,對應!E:E,"未對應")</f>
        <v>3通路方案</v>
      </c>
    </row>
    <row r="1585" spans="1:8" x14ac:dyDescent="0.4">
      <c r="A1585" t="s">
        <v>23</v>
      </c>
      <c r="B1585">
        <v>2026</v>
      </c>
      <c r="C1585">
        <v>1</v>
      </c>
      <c r="D1585" t="s">
        <v>15</v>
      </c>
      <c r="E1585" t="s">
        <v>16</v>
      </c>
      <c r="F1585">
        <v>-15386053</v>
      </c>
      <c r="G1585" s="3" t="s">
        <v>16</v>
      </c>
      <c r="H1585" t="str">
        <f>_xlfn.XLOOKUP(TRIM(D1585),對應!D:D,對應!E:E,"未對應")</f>
        <v>7製造</v>
      </c>
    </row>
    <row r="1586" spans="1:8" x14ac:dyDescent="0.4">
      <c r="A1586" t="s">
        <v>23</v>
      </c>
      <c r="B1586">
        <v>2026</v>
      </c>
      <c r="C1586">
        <v>1</v>
      </c>
      <c r="D1586" t="s">
        <v>15</v>
      </c>
      <c r="E1586" t="s">
        <v>16</v>
      </c>
      <c r="F1586">
        <v>-8029969</v>
      </c>
      <c r="G1586" s="3" t="s">
        <v>16</v>
      </c>
      <c r="H1586" t="str">
        <f>_xlfn.XLOOKUP(TRIM(D1586),對應!D:D,對應!E:E,"未對應")</f>
        <v>7製造</v>
      </c>
    </row>
    <row r="1587" spans="1:8" x14ac:dyDescent="0.4">
      <c r="A1587" t="s">
        <v>41</v>
      </c>
      <c r="B1587">
        <v>2025</v>
      </c>
      <c r="C1587">
        <v>12</v>
      </c>
      <c r="D1587" t="s">
        <v>17</v>
      </c>
      <c r="E1587" t="s">
        <v>18</v>
      </c>
      <c r="F1587">
        <v>-382966466</v>
      </c>
      <c r="G1587" s="3" t="s">
        <v>19</v>
      </c>
      <c r="H1587" t="str">
        <f>_xlfn.XLOOKUP(TRIM(D1587),對應!D:D,對應!E:E,"未對應")</f>
        <v>4筆電+盈嘉</v>
      </c>
    </row>
    <row r="1588" spans="1:8" x14ac:dyDescent="0.4">
      <c r="A1588" t="s">
        <v>41</v>
      </c>
      <c r="B1588">
        <v>2025</v>
      </c>
      <c r="C1588">
        <v>12</v>
      </c>
      <c r="D1588" t="s">
        <v>37</v>
      </c>
      <c r="E1588" t="s">
        <v>16</v>
      </c>
      <c r="F1588">
        <v>-89860</v>
      </c>
      <c r="G1588" s="3" t="s">
        <v>37</v>
      </c>
      <c r="H1588" t="str">
        <f>_xlfn.XLOOKUP(TRIM(D1588),對應!D:D,對應!E:E,"未對應")</f>
        <v>6雲城</v>
      </c>
    </row>
    <row r="1589" spans="1:8" x14ac:dyDescent="0.4">
      <c r="A1589" t="s">
        <v>41</v>
      </c>
      <c r="B1589">
        <v>2025</v>
      </c>
      <c r="C1589">
        <v>12</v>
      </c>
      <c r="D1589" t="s">
        <v>37</v>
      </c>
      <c r="E1589" t="s">
        <v>16</v>
      </c>
      <c r="F1589">
        <v>-67300</v>
      </c>
      <c r="G1589" s="3" t="s">
        <v>37</v>
      </c>
      <c r="H1589" t="str">
        <f>_xlfn.XLOOKUP(TRIM(D1589),對應!D:D,對應!E:E,"未對應")</f>
        <v>6雲城</v>
      </c>
    </row>
    <row r="1590" spans="1:8" x14ac:dyDescent="0.4">
      <c r="A1590" t="s">
        <v>45</v>
      </c>
      <c r="B1590">
        <v>2025</v>
      </c>
      <c r="C1590">
        <v>12</v>
      </c>
      <c r="D1590" t="s">
        <v>15</v>
      </c>
      <c r="E1590" t="s">
        <v>16</v>
      </c>
      <c r="F1590">
        <v>1011356</v>
      </c>
      <c r="G1590" s="3" t="s">
        <v>16</v>
      </c>
      <c r="H1590" t="str">
        <f>_xlfn.XLOOKUP(TRIM(D1590),對應!D:D,對應!E:E,"未對應")</f>
        <v>7製造</v>
      </c>
    </row>
    <row r="1591" spans="1:8" x14ac:dyDescent="0.4">
      <c r="A1591" t="s">
        <v>43</v>
      </c>
      <c r="B1591">
        <v>2025</v>
      </c>
      <c r="C1591">
        <v>12</v>
      </c>
      <c r="D1591" t="s">
        <v>32</v>
      </c>
      <c r="E1591" t="s">
        <v>16</v>
      </c>
      <c r="F1591">
        <v>10089645</v>
      </c>
      <c r="G1591" s="3" t="s">
        <v>32</v>
      </c>
      <c r="H1591" t="str">
        <f>_xlfn.XLOOKUP(TRIM(D1591),對應!D:D,對應!E:E,"未對應")</f>
        <v>5百事益</v>
      </c>
    </row>
    <row r="1592" spans="1:8" x14ac:dyDescent="0.4">
      <c r="A1592" t="s">
        <v>43</v>
      </c>
      <c r="B1592">
        <v>2025</v>
      </c>
      <c r="C1592">
        <v>12</v>
      </c>
      <c r="D1592" t="s">
        <v>32</v>
      </c>
      <c r="E1592" t="s">
        <v>16</v>
      </c>
      <c r="F1592">
        <v>458340</v>
      </c>
      <c r="G1592" s="3" t="s">
        <v>32</v>
      </c>
      <c r="H1592" t="str">
        <f>_xlfn.XLOOKUP(TRIM(D1592),對應!D:D,對應!E:E,"未對應")</f>
        <v>5百事益</v>
      </c>
    </row>
    <row r="1593" spans="1:8" x14ac:dyDescent="0.4">
      <c r="A1593" t="s">
        <v>43</v>
      </c>
      <c r="B1593">
        <v>2025</v>
      </c>
      <c r="C1593">
        <v>12</v>
      </c>
      <c r="D1593" t="s">
        <v>10</v>
      </c>
      <c r="E1593" t="s">
        <v>24</v>
      </c>
      <c r="F1593">
        <v>303153882</v>
      </c>
      <c r="G1593" s="3" t="s">
        <v>14</v>
      </c>
      <c r="H1593" t="str">
        <f>_xlfn.XLOOKUP(TRIM(D1593),對應!D:D,對應!E:E,"未對應")</f>
        <v>3通路方案</v>
      </c>
    </row>
    <row r="1594" spans="1:8" x14ac:dyDescent="0.4">
      <c r="A1594" t="s">
        <v>43</v>
      </c>
      <c r="B1594">
        <v>2025</v>
      </c>
      <c r="C1594">
        <v>12</v>
      </c>
      <c r="D1594" t="s">
        <v>10</v>
      </c>
      <c r="E1594" t="s">
        <v>29</v>
      </c>
      <c r="F1594">
        <v>6573492</v>
      </c>
      <c r="G1594" s="3" t="s">
        <v>12</v>
      </c>
      <c r="H1594" t="str">
        <f>_xlfn.XLOOKUP(TRIM(D1594),對應!D:D,對應!E:E,"未對應")</f>
        <v>3通路方案</v>
      </c>
    </row>
    <row r="1595" spans="1:8" x14ac:dyDescent="0.4">
      <c r="A1595" t="s">
        <v>43</v>
      </c>
      <c r="B1595">
        <v>2025</v>
      </c>
      <c r="C1595">
        <v>12</v>
      </c>
      <c r="D1595" t="s">
        <v>10</v>
      </c>
      <c r="E1595" t="s">
        <v>25</v>
      </c>
      <c r="F1595">
        <v>96851</v>
      </c>
      <c r="G1595" s="3" t="s">
        <v>14</v>
      </c>
      <c r="H1595" t="str">
        <f>_xlfn.XLOOKUP(TRIM(D1595),對應!D:D,對應!E:E,"未對應")</f>
        <v>3通路方案</v>
      </c>
    </row>
    <row r="1596" spans="1:8" x14ac:dyDescent="0.4">
      <c r="A1596" t="s">
        <v>43</v>
      </c>
      <c r="B1596">
        <v>2025</v>
      </c>
      <c r="C1596">
        <v>12</v>
      </c>
      <c r="D1596" t="s">
        <v>10</v>
      </c>
      <c r="E1596" t="s">
        <v>27</v>
      </c>
      <c r="F1596">
        <v>21991253</v>
      </c>
      <c r="G1596" s="3" t="s">
        <v>28</v>
      </c>
      <c r="H1596" t="str">
        <f>_xlfn.XLOOKUP(TRIM(D1596),對應!D:D,對應!E:E,"未對應")</f>
        <v>3通路方案</v>
      </c>
    </row>
    <row r="1597" spans="1:8" x14ac:dyDescent="0.4">
      <c r="A1597" t="s">
        <v>43</v>
      </c>
      <c r="B1597">
        <v>2025</v>
      </c>
      <c r="C1597">
        <v>12</v>
      </c>
      <c r="D1597" t="s">
        <v>10</v>
      </c>
      <c r="E1597" t="s">
        <v>21</v>
      </c>
      <c r="F1597">
        <v>1076345067</v>
      </c>
      <c r="G1597" s="3" t="s">
        <v>22</v>
      </c>
      <c r="H1597" t="str">
        <f>_xlfn.XLOOKUP(TRIM(D1597),對應!D:D,對應!E:E,"未對應")</f>
        <v>3通路方案</v>
      </c>
    </row>
    <row r="1598" spans="1:8" x14ac:dyDescent="0.4">
      <c r="A1598" t="s">
        <v>43</v>
      </c>
      <c r="B1598">
        <v>2025</v>
      </c>
      <c r="C1598">
        <v>12</v>
      </c>
      <c r="D1598" t="s">
        <v>8</v>
      </c>
      <c r="E1598" t="s">
        <v>16</v>
      </c>
      <c r="F1598">
        <v>14468621</v>
      </c>
      <c r="G1598" s="3" t="s">
        <v>16</v>
      </c>
      <c r="H1598" t="str">
        <f>_xlfn.XLOOKUP(TRIM(D1598),對應!D:D,對應!E:E,"未對應")</f>
        <v>1網通+技鋼</v>
      </c>
    </row>
    <row r="1599" spans="1:8" x14ac:dyDescent="0.4">
      <c r="A1599" t="s">
        <v>43</v>
      </c>
      <c r="B1599">
        <v>2025</v>
      </c>
      <c r="C1599">
        <v>12</v>
      </c>
      <c r="D1599" t="s">
        <v>32</v>
      </c>
      <c r="E1599" t="s">
        <v>16</v>
      </c>
      <c r="F1599">
        <v>5565797</v>
      </c>
      <c r="G1599" s="3" t="s">
        <v>32</v>
      </c>
      <c r="H1599" t="str">
        <f>_xlfn.XLOOKUP(TRIM(D1599),對應!D:D,對應!E:E,"未對應")</f>
        <v>5百事益</v>
      </c>
    </row>
    <row r="1600" spans="1:8" x14ac:dyDescent="0.4">
      <c r="A1600" t="s">
        <v>43</v>
      </c>
      <c r="B1600">
        <v>2025</v>
      </c>
      <c r="C1600">
        <v>12</v>
      </c>
      <c r="D1600" t="s">
        <v>10</v>
      </c>
      <c r="E1600" t="s">
        <v>16</v>
      </c>
      <c r="F1600">
        <v>7126763</v>
      </c>
      <c r="G1600" s="3" t="s">
        <v>16</v>
      </c>
      <c r="H1600" t="str">
        <f>_xlfn.XLOOKUP(TRIM(D1600),對應!D:D,對應!E:E,"未對應")</f>
        <v>3通路方案</v>
      </c>
    </row>
    <row r="1601" spans="1:8" x14ac:dyDescent="0.4">
      <c r="A1601" t="s">
        <v>43</v>
      </c>
      <c r="B1601">
        <v>2025</v>
      </c>
      <c r="C1601">
        <v>12</v>
      </c>
      <c r="D1601" t="s">
        <v>32</v>
      </c>
      <c r="E1601" t="s">
        <v>16</v>
      </c>
      <c r="F1601">
        <v>21491757</v>
      </c>
      <c r="G1601" s="3" t="s">
        <v>32</v>
      </c>
      <c r="H1601" t="str">
        <f>_xlfn.XLOOKUP(TRIM(D1601),對應!D:D,對應!E:E,"未對應")</f>
        <v>5百事益</v>
      </c>
    </row>
    <row r="1602" spans="1:8" x14ac:dyDescent="0.4">
      <c r="A1602" t="s">
        <v>43</v>
      </c>
      <c r="B1602">
        <v>2025</v>
      </c>
      <c r="C1602">
        <v>12</v>
      </c>
      <c r="D1602" t="s">
        <v>17</v>
      </c>
      <c r="E1602" t="s">
        <v>18</v>
      </c>
      <c r="F1602">
        <v>7441343</v>
      </c>
      <c r="G1602" s="3" t="s">
        <v>19</v>
      </c>
      <c r="H1602" t="str">
        <f>_xlfn.XLOOKUP(TRIM(D1602),對應!D:D,對應!E:E,"未對應")</f>
        <v>4筆電+盈嘉</v>
      </c>
    </row>
    <row r="1603" spans="1:8" x14ac:dyDescent="0.4">
      <c r="A1603" t="s">
        <v>43</v>
      </c>
      <c r="B1603">
        <v>2025</v>
      </c>
      <c r="C1603">
        <v>12</v>
      </c>
      <c r="D1603" t="s">
        <v>10</v>
      </c>
      <c r="E1603" t="s">
        <v>24</v>
      </c>
      <c r="F1603">
        <v>229519094</v>
      </c>
      <c r="G1603" s="3" t="s">
        <v>14</v>
      </c>
      <c r="H1603" t="str">
        <f>_xlfn.XLOOKUP(TRIM(D1603),對應!D:D,對應!E:E,"未對應")</f>
        <v>3通路方案</v>
      </c>
    </row>
    <row r="1604" spans="1:8" x14ac:dyDescent="0.4">
      <c r="A1604" t="s">
        <v>43</v>
      </c>
      <c r="B1604">
        <v>2025</v>
      </c>
      <c r="C1604">
        <v>12</v>
      </c>
      <c r="D1604" t="s">
        <v>10</v>
      </c>
      <c r="E1604" t="s">
        <v>30</v>
      </c>
      <c r="F1604">
        <v>539763</v>
      </c>
      <c r="G1604" s="3" t="s">
        <v>12</v>
      </c>
      <c r="H1604" t="str">
        <f>_xlfn.XLOOKUP(TRIM(D1604),對應!D:D,對應!E:E,"未對應")</f>
        <v>3通路方案</v>
      </c>
    </row>
    <row r="1605" spans="1:8" x14ac:dyDescent="0.4">
      <c r="A1605" t="s">
        <v>43</v>
      </c>
      <c r="B1605">
        <v>2025</v>
      </c>
      <c r="C1605">
        <v>12</v>
      </c>
      <c r="D1605" t="s">
        <v>10</v>
      </c>
      <c r="E1605" t="s">
        <v>27</v>
      </c>
      <c r="F1605">
        <v>21680820</v>
      </c>
      <c r="G1605" s="3" t="s">
        <v>28</v>
      </c>
      <c r="H1605" t="str">
        <f>_xlfn.XLOOKUP(TRIM(D1605),對應!D:D,對應!E:E,"未對應")</f>
        <v>3通路方案</v>
      </c>
    </row>
    <row r="1606" spans="1:8" x14ac:dyDescent="0.4">
      <c r="A1606" t="s">
        <v>43</v>
      </c>
      <c r="B1606">
        <v>2025</v>
      </c>
      <c r="C1606">
        <v>12</v>
      </c>
      <c r="D1606" t="s">
        <v>10</v>
      </c>
      <c r="E1606" t="s">
        <v>11</v>
      </c>
      <c r="F1606">
        <v>996211</v>
      </c>
      <c r="G1606" s="3" t="s">
        <v>12</v>
      </c>
      <c r="H1606" t="str">
        <f>_xlfn.XLOOKUP(TRIM(D1606),對應!D:D,對應!E:E,"未對應")</f>
        <v>3通路方案</v>
      </c>
    </row>
    <row r="1607" spans="1:8" x14ac:dyDescent="0.4">
      <c r="A1607" t="s">
        <v>43</v>
      </c>
      <c r="B1607">
        <v>2025</v>
      </c>
      <c r="C1607">
        <v>12</v>
      </c>
      <c r="D1607" t="s">
        <v>10</v>
      </c>
      <c r="E1607" t="s">
        <v>26</v>
      </c>
      <c r="F1607">
        <v>316440</v>
      </c>
      <c r="G1607" s="3" t="s">
        <v>14</v>
      </c>
      <c r="H1607" t="str">
        <f>_xlfn.XLOOKUP(TRIM(D1607),對應!D:D,對應!E:E,"未對應")</f>
        <v>3通路方案</v>
      </c>
    </row>
    <row r="1608" spans="1:8" x14ac:dyDescent="0.4">
      <c r="A1608" t="s">
        <v>43</v>
      </c>
      <c r="B1608">
        <v>2025</v>
      </c>
      <c r="C1608">
        <v>12</v>
      </c>
      <c r="D1608" t="s">
        <v>10</v>
      </c>
      <c r="E1608" t="s">
        <v>21</v>
      </c>
      <c r="F1608">
        <v>999088813</v>
      </c>
      <c r="G1608" s="3" t="s">
        <v>22</v>
      </c>
      <c r="H1608" t="str">
        <f>_xlfn.XLOOKUP(TRIM(D1608),對應!D:D,對應!E:E,"未對應")</f>
        <v>3通路方案</v>
      </c>
    </row>
    <row r="1609" spans="1:8" x14ac:dyDescent="0.4">
      <c r="A1609" t="s">
        <v>43</v>
      </c>
      <c r="B1609">
        <v>2025</v>
      </c>
      <c r="C1609">
        <v>12</v>
      </c>
      <c r="D1609" t="s">
        <v>10</v>
      </c>
      <c r="E1609" t="s">
        <v>16</v>
      </c>
      <c r="F1609">
        <v>11208652</v>
      </c>
      <c r="G1609" s="3" t="s">
        <v>16</v>
      </c>
      <c r="H1609" t="str">
        <f>_xlfn.XLOOKUP(TRIM(D1609),對應!D:D,對應!E:E,"未對應")</f>
        <v>3通路方案</v>
      </c>
    </row>
    <row r="1610" spans="1:8" x14ac:dyDescent="0.4">
      <c r="A1610" t="s">
        <v>43</v>
      </c>
      <c r="B1610">
        <v>2025</v>
      </c>
      <c r="C1610">
        <v>12</v>
      </c>
      <c r="D1610" t="s">
        <v>8</v>
      </c>
      <c r="E1610" t="s">
        <v>16</v>
      </c>
      <c r="F1610">
        <v>16217226</v>
      </c>
      <c r="G1610" s="3" t="s">
        <v>16</v>
      </c>
      <c r="H1610" t="str">
        <f>_xlfn.XLOOKUP(TRIM(D1610),對應!D:D,對應!E:E,"未對應")</f>
        <v>1網通+技鋼</v>
      </c>
    </row>
    <row r="1611" spans="1:8" x14ac:dyDescent="0.4">
      <c r="A1611" t="s">
        <v>43</v>
      </c>
      <c r="B1611">
        <v>2025</v>
      </c>
      <c r="C1611">
        <v>12</v>
      </c>
      <c r="D1611" t="s">
        <v>8</v>
      </c>
      <c r="E1611" t="s">
        <v>16</v>
      </c>
      <c r="F1611">
        <v>175949350</v>
      </c>
      <c r="G1611" s="3" t="s">
        <v>16</v>
      </c>
      <c r="H1611" t="str">
        <f>_xlfn.XLOOKUP(TRIM(D1611),對應!D:D,對應!E:E,"未對應")</f>
        <v>1網通+技鋼</v>
      </c>
    </row>
    <row r="1612" spans="1:8" x14ac:dyDescent="0.4">
      <c r="A1612" t="s">
        <v>43</v>
      </c>
      <c r="B1612">
        <v>2025</v>
      </c>
      <c r="C1612">
        <v>12</v>
      </c>
      <c r="D1612" t="s">
        <v>10</v>
      </c>
      <c r="E1612" t="s">
        <v>26</v>
      </c>
      <c r="F1612">
        <v>4236015</v>
      </c>
      <c r="G1612" s="3" t="s">
        <v>14</v>
      </c>
      <c r="H1612" t="str">
        <f>_xlfn.XLOOKUP(TRIM(D1612),對應!D:D,對應!E:E,"未對應")</f>
        <v>3通路方案</v>
      </c>
    </row>
    <row r="1613" spans="1:8" x14ac:dyDescent="0.4">
      <c r="A1613" t="s">
        <v>43</v>
      </c>
      <c r="B1613">
        <v>2025</v>
      </c>
      <c r="C1613">
        <v>12</v>
      </c>
      <c r="D1613" t="s">
        <v>32</v>
      </c>
      <c r="E1613" t="s">
        <v>16</v>
      </c>
      <c r="F1613">
        <v>8044607</v>
      </c>
      <c r="G1613" s="3" t="s">
        <v>32</v>
      </c>
      <c r="H1613" t="str">
        <f>_xlfn.XLOOKUP(TRIM(D1613),對應!D:D,對應!E:E,"未對應")</f>
        <v>5百事益</v>
      </c>
    </row>
    <row r="1614" spans="1:8" x14ac:dyDescent="0.4">
      <c r="A1614" t="s">
        <v>43</v>
      </c>
      <c r="B1614">
        <v>2025</v>
      </c>
      <c r="C1614">
        <v>12</v>
      </c>
      <c r="D1614" t="s">
        <v>17</v>
      </c>
      <c r="E1614" t="s">
        <v>18</v>
      </c>
      <c r="F1614">
        <v>21281514</v>
      </c>
      <c r="G1614" s="3" t="s">
        <v>19</v>
      </c>
      <c r="H1614" t="str">
        <f>_xlfn.XLOOKUP(TRIM(D1614),對應!D:D,對應!E:E,"未對應")</f>
        <v>4筆電+盈嘉</v>
      </c>
    </row>
    <row r="1615" spans="1:8" x14ac:dyDescent="0.4">
      <c r="A1615" t="s">
        <v>43</v>
      </c>
      <c r="B1615">
        <v>2025</v>
      </c>
      <c r="C1615">
        <v>12</v>
      </c>
      <c r="D1615" t="s">
        <v>10</v>
      </c>
      <c r="E1615" t="s">
        <v>24</v>
      </c>
      <c r="F1615">
        <v>36862674</v>
      </c>
      <c r="G1615" s="3" t="s">
        <v>14</v>
      </c>
      <c r="H1615" t="str">
        <f>_xlfn.XLOOKUP(TRIM(D1615),對應!D:D,對應!E:E,"未對應")</f>
        <v>3通路方案</v>
      </c>
    </row>
    <row r="1616" spans="1:8" x14ac:dyDescent="0.4">
      <c r="A1616" t="s">
        <v>43</v>
      </c>
      <c r="B1616">
        <v>2025</v>
      </c>
      <c r="C1616">
        <v>12</v>
      </c>
      <c r="D1616" t="s">
        <v>10</v>
      </c>
      <c r="E1616" t="s">
        <v>30</v>
      </c>
      <c r="F1616">
        <v>199380</v>
      </c>
      <c r="G1616" s="3" t="s">
        <v>12</v>
      </c>
      <c r="H1616" t="str">
        <f>_xlfn.XLOOKUP(TRIM(D1616),對應!D:D,對應!E:E,"未對應")</f>
        <v>3通路方案</v>
      </c>
    </row>
    <row r="1617" spans="1:8" x14ac:dyDescent="0.4">
      <c r="A1617" t="s">
        <v>43</v>
      </c>
      <c r="B1617">
        <v>2025</v>
      </c>
      <c r="C1617">
        <v>12</v>
      </c>
      <c r="D1617" t="s">
        <v>10</v>
      </c>
      <c r="E1617" t="s">
        <v>25</v>
      </c>
      <c r="F1617">
        <v>40807</v>
      </c>
      <c r="G1617" s="3" t="s">
        <v>14</v>
      </c>
      <c r="H1617" t="str">
        <f>_xlfn.XLOOKUP(TRIM(D1617),對應!D:D,對應!E:E,"未對應")</f>
        <v>3通路方案</v>
      </c>
    </row>
    <row r="1618" spans="1:8" x14ac:dyDescent="0.4">
      <c r="A1618" t="s">
        <v>43</v>
      </c>
      <c r="B1618">
        <v>2025</v>
      </c>
      <c r="C1618">
        <v>12</v>
      </c>
      <c r="D1618" t="s">
        <v>10</v>
      </c>
      <c r="E1618" t="s">
        <v>27</v>
      </c>
      <c r="F1618">
        <v>9910962</v>
      </c>
      <c r="G1618" s="3" t="s">
        <v>28</v>
      </c>
      <c r="H1618" t="str">
        <f>_xlfn.XLOOKUP(TRIM(D1618),對應!D:D,對應!E:E,"未對應")</f>
        <v>3通路方案</v>
      </c>
    </row>
    <row r="1619" spans="1:8" x14ac:dyDescent="0.4">
      <c r="A1619" t="s">
        <v>43</v>
      </c>
      <c r="B1619">
        <v>2025</v>
      </c>
      <c r="C1619">
        <v>12</v>
      </c>
      <c r="D1619" t="s">
        <v>10</v>
      </c>
      <c r="E1619" t="s">
        <v>16</v>
      </c>
      <c r="F1619">
        <v>464151</v>
      </c>
      <c r="G1619" s="3" t="s">
        <v>16</v>
      </c>
      <c r="H1619" t="str">
        <f>_xlfn.XLOOKUP(TRIM(D1619),對應!D:D,對應!E:E,"未對應")</f>
        <v>3通路方案</v>
      </c>
    </row>
    <row r="1620" spans="1:8" x14ac:dyDescent="0.4">
      <c r="A1620" t="s">
        <v>43</v>
      </c>
      <c r="B1620">
        <v>2025</v>
      </c>
      <c r="C1620">
        <v>12</v>
      </c>
      <c r="D1620" t="s">
        <v>10</v>
      </c>
      <c r="E1620" t="s">
        <v>11</v>
      </c>
      <c r="F1620">
        <v>2199371</v>
      </c>
      <c r="G1620" s="3" t="s">
        <v>12</v>
      </c>
      <c r="H1620" t="str">
        <f>_xlfn.XLOOKUP(TRIM(D1620),對應!D:D,對應!E:E,"未對應")</f>
        <v>3通路方案</v>
      </c>
    </row>
    <row r="1621" spans="1:8" x14ac:dyDescent="0.4">
      <c r="A1621" t="s">
        <v>43</v>
      </c>
      <c r="B1621">
        <v>2025</v>
      </c>
      <c r="C1621">
        <v>12</v>
      </c>
      <c r="D1621" t="s">
        <v>10</v>
      </c>
      <c r="E1621" t="s">
        <v>13</v>
      </c>
      <c r="F1621">
        <v>-2955</v>
      </c>
      <c r="G1621" s="3" t="s">
        <v>14</v>
      </c>
      <c r="H1621" t="str">
        <f>_xlfn.XLOOKUP(TRIM(D1621),對應!D:D,對應!E:E,"未對應")</f>
        <v>3通路方案</v>
      </c>
    </row>
    <row r="1622" spans="1:8" x14ac:dyDescent="0.4">
      <c r="A1622" t="s">
        <v>43</v>
      </c>
      <c r="B1622">
        <v>2025</v>
      </c>
      <c r="C1622">
        <v>12</v>
      </c>
      <c r="D1622" t="s">
        <v>10</v>
      </c>
      <c r="E1622" t="s">
        <v>26</v>
      </c>
      <c r="F1622">
        <v>120973</v>
      </c>
      <c r="G1622" s="3" t="s">
        <v>14</v>
      </c>
      <c r="H1622" t="str">
        <f>_xlfn.XLOOKUP(TRIM(D1622),對應!D:D,對應!E:E,"未對應")</f>
        <v>3通路方案</v>
      </c>
    </row>
    <row r="1623" spans="1:8" x14ac:dyDescent="0.4">
      <c r="A1623" t="s">
        <v>43</v>
      </c>
      <c r="B1623">
        <v>2025</v>
      </c>
      <c r="C1623">
        <v>12</v>
      </c>
      <c r="D1623" t="s">
        <v>10</v>
      </c>
      <c r="E1623" t="s">
        <v>21</v>
      </c>
      <c r="F1623">
        <v>87408345</v>
      </c>
      <c r="G1623" s="3" t="s">
        <v>22</v>
      </c>
      <c r="H1623" t="str">
        <f>_xlfn.XLOOKUP(TRIM(D1623),對應!D:D,對應!E:E,"未對應")</f>
        <v>3通路方案</v>
      </c>
    </row>
    <row r="1624" spans="1:8" x14ac:dyDescent="0.4">
      <c r="A1624" t="s">
        <v>43</v>
      </c>
      <c r="B1624">
        <v>2025</v>
      </c>
      <c r="C1624">
        <v>12</v>
      </c>
      <c r="D1624" t="s">
        <v>10</v>
      </c>
      <c r="E1624" t="s">
        <v>16</v>
      </c>
      <c r="F1624">
        <v>-32928</v>
      </c>
      <c r="G1624" s="3" t="s">
        <v>16</v>
      </c>
      <c r="H1624" t="str">
        <f>_xlfn.XLOOKUP(TRIM(D1624),對應!D:D,對應!E:E,"未對應")</f>
        <v>3通路方案</v>
      </c>
    </row>
    <row r="1625" spans="1:8" x14ac:dyDescent="0.4">
      <c r="A1625" t="s">
        <v>43</v>
      </c>
      <c r="B1625">
        <v>2025</v>
      </c>
      <c r="C1625">
        <v>12</v>
      </c>
      <c r="D1625" t="s">
        <v>8</v>
      </c>
      <c r="E1625" t="s">
        <v>16</v>
      </c>
      <c r="F1625">
        <v>7603689</v>
      </c>
      <c r="G1625" s="3" t="s">
        <v>16</v>
      </c>
      <c r="H1625" t="str">
        <f>_xlfn.XLOOKUP(TRIM(D1625),對應!D:D,對應!E:E,"未對應")</f>
        <v>1網通+技鋼</v>
      </c>
    </row>
    <row r="1626" spans="1:8" x14ac:dyDescent="0.4">
      <c r="A1626" t="s">
        <v>31</v>
      </c>
      <c r="B1626">
        <v>2025</v>
      </c>
      <c r="C1626">
        <v>12</v>
      </c>
      <c r="D1626" t="s">
        <v>10</v>
      </c>
      <c r="E1626" t="s">
        <v>24</v>
      </c>
      <c r="F1626">
        <v>-797319</v>
      </c>
      <c r="G1626" s="3" t="s">
        <v>14</v>
      </c>
      <c r="H1626" t="str">
        <f>_xlfn.XLOOKUP(TRIM(D1626),對應!D:D,對應!E:E,"未對應")</f>
        <v>3通路方案</v>
      </c>
    </row>
    <row r="1627" spans="1:8" x14ac:dyDescent="0.4">
      <c r="A1627" t="s">
        <v>31</v>
      </c>
      <c r="B1627">
        <v>2025</v>
      </c>
      <c r="C1627">
        <v>12</v>
      </c>
      <c r="D1627" t="s">
        <v>10</v>
      </c>
      <c r="E1627" t="s">
        <v>21</v>
      </c>
      <c r="F1627">
        <v>-5553859</v>
      </c>
      <c r="G1627" s="3" t="s">
        <v>22</v>
      </c>
      <c r="H1627" t="str">
        <f>_xlfn.XLOOKUP(TRIM(D1627),對應!D:D,對應!E:E,"未對應")</f>
        <v>3通路方案</v>
      </c>
    </row>
    <row r="1628" spans="1:8" x14ac:dyDescent="0.4">
      <c r="A1628" t="s">
        <v>31</v>
      </c>
      <c r="B1628">
        <v>2025</v>
      </c>
      <c r="C1628">
        <v>12</v>
      </c>
      <c r="D1628" t="s">
        <v>10</v>
      </c>
      <c r="E1628" t="s">
        <v>16</v>
      </c>
      <c r="F1628">
        <v>-1128862</v>
      </c>
      <c r="G1628" s="3" t="s">
        <v>16</v>
      </c>
      <c r="H1628" t="str">
        <f>_xlfn.XLOOKUP(TRIM(D1628),對應!D:D,對應!E:E,"未對應")</f>
        <v>3通路方案</v>
      </c>
    </row>
    <row r="1629" spans="1:8" x14ac:dyDescent="0.4">
      <c r="A1629" t="s">
        <v>31</v>
      </c>
      <c r="B1629">
        <v>2025</v>
      </c>
      <c r="C1629">
        <v>12</v>
      </c>
      <c r="D1629" t="s">
        <v>10</v>
      </c>
      <c r="E1629" t="s">
        <v>16</v>
      </c>
      <c r="F1629">
        <v>-7126763</v>
      </c>
      <c r="G1629" s="3" t="s">
        <v>16</v>
      </c>
      <c r="H1629" t="str">
        <f>_xlfn.XLOOKUP(TRIM(D1629),對應!D:D,對應!E:E,"未對應")</f>
        <v>3通路方案</v>
      </c>
    </row>
    <row r="1630" spans="1:8" x14ac:dyDescent="0.4">
      <c r="A1630" t="s">
        <v>31</v>
      </c>
      <c r="B1630">
        <v>2025</v>
      </c>
      <c r="C1630">
        <v>12</v>
      </c>
      <c r="D1630" t="s">
        <v>32</v>
      </c>
      <c r="E1630" t="s">
        <v>16</v>
      </c>
      <c r="F1630">
        <v>-2915713</v>
      </c>
      <c r="G1630" s="3" t="s">
        <v>32</v>
      </c>
      <c r="H1630" t="str">
        <f>_xlfn.XLOOKUP(TRIM(D1630),對應!D:D,對應!E:E,"未對應")</f>
        <v>5百事益</v>
      </c>
    </row>
    <row r="1631" spans="1:8" x14ac:dyDescent="0.4">
      <c r="A1631" t="s">
        <v>31</v>
      </c>
      <c r="B1631">
        <v>2025</v>
      </c>
      <c r="C1631">
        <v>12</v>
      </c>
      <c r="D1631" t="s">
        <v>8</v>
      </c>
      <c r="E1631" t="s">
        <v>16</v>
      </c>
      <c r="F1631">
        <v>-1857797</v>
      </c>
      <c r="G1631" s="3" t="s">
        <v>16</v>
      </c>
      <c r="H1631" t="str">
        <f>_xlfn.XLOOKUP(TRIM(D1631),對應!D:D,對應!E:E,"未對應")</f>
        <v>1網通+技鋼</v>
      </c>
    </row>
    <row r="1632" spans="1:8" x14ac:dyDescent="0.4">
      <c r="A1632" t="s">
        <v>31</v>
      </c>
      <c r="B1632">
        <v>2025</v>
      </c>
      <c r="C1632">
        <v>12</v>
      </c>
      <c r="D1632" t="s">
        <v>8</v>
      </c>
      <c r="E1632" t="s">
        <v>16</v>
      </c>
      <c r="F1632">
        <v>-14540075</v>
      </c>
      <c r="G1632" s="3" t="s">
        <v>16</v>
      </c>
      <c r="H1632" t="str">
        <f>_xlfn.XLOOKUP(TRIM(D1632),對應!D:D,對應!E:E,"未對應")</f>
        <v>1網通+技鋼</v>
      </c>
    </row>
    <row r="1633" spans="1:8" x14ac:dyDescent="0.4">
      <c r="A1633" t="s">
        <v>31</v>
      </c>
      <c r="B1633">
        <v>2025</v>
      </c>
      <c r="C1633">
        <v>12</v>
      </c>
      <c r="D1633" t="s">
        <v>32</v>
      </c>
      <c r="E1633" t="s">
        <v>16</v>
      </c>
      <c r="F1633">
        <v>-5417604</v>
      </c>
      <c r="G1633" s="3" t="s">
        <v>32</v>
      </c>
      <c r="H1633" t="str">
        <f>_xlfn.XLOOKUP(TRIM(D1633),對應!D:D,對應!E:E,"未對應")</f>
        <v>5百事益</v>
      </c>
    </row>
    <row r="1634" spans="1:8" x14ac:dyDescent="0.4">
      <c r="A1634" t="s">
        <v>31</v>
      </c>
      <c r="B1634">
        <v>2025</v>
      </c>
      <c r="C1634">
        <v>12</v>
      </c>
      <c r="D1634" t="s">
        <v>32</v>
      </c>
      <c r="E1634" t="s">
        <v>16</v>
      </c>
      <c r="F1634">
        <v>-12440706</v>
      </c>
      <c r="G1634" s="3" t="s">
        <v>32</v>
      </c>
      <c r="H1634" t="str">
        <f>_xlfn.XLOOKUP(TRIM(D1634),對應!D:D,對應!E:E,"未對應")</f>
        <v>5百事益</v>
      </c>
    </row>
    <row r="1635" spans="1:8" x14ac:dyDescent="0.4">
      <c r="A1635" t="s">
        <v>31</v>
      </c>
      <c r="B1635">
        <v>2025</v>
      </c>
      <c r="C1635">
        <v>12</v>
      </c>
      <c r="D1635" t="s">
        <v>32</v>
      </c>
      <c r="E1635" t="s">
        <v>16</v>
      </c>
      <c r="F1635">
        <v>-9274</v>
      </c>
      <c r="G1635" s="3" t="s">
        <v>32</v>
      </c>
      <c r="H1635" t="str">
        <f>_xlfn.XLOOKUP(TRIM(D1635),對應!D:D,對應!E:E,"未對應")</f>
        <v>5百事益</v>
      </c>
    </row>
    <row r="1636" spans="1:8" x14ac:dyDescent="0.4">
      <c r="A1636" t="s">
        <v>31</v>
      </c>
      <c r="B1636">
        <v>2025</v>
      </c>
      <c r="C1636">
        <v>12</v>
      </c>
      <c r="D1636" t="s">
        <v>17</v>
      </c>
      <c r="E1636" t="s">
        <v>18</v>
      </c>
      <c r="F1636">
        <v>-88341</v>
      </c>
      <c r="G1636" s="3" t="s">
        <v>19</v>
      </c>
      <c r="H1636" t="str">
        <f>_xlfn.XLOOKUP(TRIM(D1636),對應!D:D,對應!E:E,"未對應")</f>
        <v>4筆電+盈嘉</v>
      </c>
    </row>
    <row r="1637" spans="1:8" x14ac:dyDescent="0.4">
      <c r="A1637" t="s">
        <v>31</v>
      </c>
      <c r="B1637">
        <v>2025</v>
      </c>
      <c r="C1637">
        <v>12</v>
      </c>
      <c r="D1637" t="s">
        <v>10</v>
      </c>
      <c r="E1637" t="s">
        <v>24</v>
      </c>
      <c r="F1637">
        <v>-22635</v>
      </c>
      <c r="G1637" s="3" t="s">
        <v>14</v>
      </c>
      <c r="H1637" t="str">
        <f>_xlfn.XLOOKUP(TRIM(D1637),對應!D:D,對應!E:E,"未對應")</f>
        <v>3通路方案</v>
      </c>
    </row>
    <row r="1638" spans="1:8" x14ac:dyDescent="0.4">
      <c r="A1638" t="s">
        <v>31</v>
      </c>
      <c r="B1638">
        <v>2025</v>
      </c>
      <c r="C1638">
        <v>12</v>
      </c>
      <c r="D1638" t="s">
        <v>10</v>
      </c>
      <c r="E1638" t="s">
        <v>21</v>
      </c>
      <c r="F1638">
        <v>-462642</v>
      </c>
      <c r="G1638" s="3" t="s">
        <v>22</v>
      </c>
      <c r="H1638" t="str">
        <f>_xlfn.XLOOKUP(TRIM(D1638),對應!D:D,對應!E:E,"未對應")</f>
        <v>3通路方案</v>
      </c>
    </row>
    <row r="1639" spans="1:8" x14ac:dyDescent="0.4">
      <c r="A1639" t="s">
        <v>31</v>
      </c>
      <c r="B1639">
        <v>2025</v>
      </c>
      <c r="C1639">
        <v>12</v>
      </c>
      <c r="D1639" t="s">
        <v>10</v>
      </c>
      <c r="E1639" t="s">
        <v>16</v>
      </c>
      <c r="F1639">
        <v>-694151</v>
      </c>
      <c r="G1639" s="3" t="s">
        <v>16</v>
      </c>
      <c r="H1639" t="str">
        <f>_xlfn.XLOOKUP(TRIM(D1639),對應!D:D,對應!E:E,"未對應")</f>
        <v>3通路方案</v>
      </c>
    </row>
    <row r="1640" spans="1:8" x14ac:dyDescent="0.4">
      <c r="A1640" t="s">
        <v>31</v>
      </c>
      <c r="B1640">
        <v>2025</v>
      </c>
      <c r="C1640">
        <v>12</v>
      </c>
      <c r="D1640" t="s">
        <v>8</v>
      </c>
      <c r="E1640" t="s">
        <v>16</v>
      </c>
      <c r="F1640">
        <v>-636553</v>
      </c>
      <c r="G1640" s="3" t="s">
        <v>16</v>
      </c>
      <c r="H1640" t="str">
        <f>_xlfn.XLOOKUP(TRIM(D1640),對應!D:D,對應!E:E,"未對應")</f>
        <v>1網通+技鋼</v>
      </c>
    </row>
    <row r="1641" spans="1:8" x14ac:dyDescent="0.4">
      <c r="A1641" t="s">
        <v>31</v>
      </c>
      <c r="B1641">
        <v>2025</v>
      </c>
      <c r="C1641">
        <v>12</v>
      </c>
      <c r="D1641" t="s">
        <v>17</v>
      </c>
      <c r="E1641" t="s">
        <v>18</v>
      </c>
      <c r="F1641">
        <v>-10641103</v>
      </c>
      <c r="G1641" s="3" t="s">
        <v>19</v>
      </c>
      <c r="H1641" t="str">
        <f>_xlfn.XLOOKUP(TRIM(D1641),對應!D:D,對應!E:E,"未對應")</f>
        <v>4筆電+盈嘉</v>
      </c>
    </row>
    <row r="1642" spans="1:8" x14ac:dyDescent="0.4">
      <c r="A1642" t="s">
        <v>31</v>
      </c>
      <c r="B1642">
        <v>2025</v>
      </c>
      <c r="C1642">
        <v>12</v>
      </c>
      <c r="D1642" t="s">
        <v>10</v>
      </c>
      <c r="E1642" t="s">
        <v>24</v>
      </c>
      <c r="F1642">
        <v>-19282026</v>
      </c>
      <c r="G1642" s="3" t="s">
        <v>14</v>
      </c>
      <c r="H1642" t="str">
        <f>_xlfn.XLOOKUP(TRIM(D1642),對應!D:D,對應!E:E,"未對應")</f>
        <v>3通路方案</v>
      </c>
    </row>
    <row r="1643" spans="1:8" x14ac:dyDescent="0.4">
      <c r="A1643" t="s">
        <v>31</v>
      </c>
      <c r="B1643">
        <v>2025</v>
      </c>
      <c r="C1643">
        <v>12</v>
      </c>
      <c r="D1643" t="s">
        <v>10</v>
      </c>
      <c r="E1643" t="s">
        <v>30</v>
      </c>
      <c r="F1643">
        <v>-48069</v>
      </c>
      <c r="G1643" s="3" t="s">
        <v>12</v>
      </c>
      <c r="H1643" t="str">
        <f>_xlfn.XLOOKUP(TRIM(D1643),對應!D:D,對應!E:E,"未對應")</f>
        <v>3通路方案</v>
      </c>
    </row>
    <row r="1644" spans="1:8" x14ac:dyDescent="0.4">
      <c r="A1644" t="s">
        <v>31</v>
      </c>
      <c r="B1644">
        <v>2025</v>
      </c>
      <c r="C1644">
        <v>12</v>
      </c>
      <c r="D1644" t="s">
        <v>10</v>
      </c>
      <c r="E1644" t="s">
        <v>25</v>
      </c>
      <c r="F1644">
        <v>-40807</v>
      </c>
      <c r="G1644" s="3" t="s">
        <v>14</v>
      </c>
      <c r="H1644" t="str">
        <f>_xlfn.XLOOKUP(TRIM(D1644),對應!D:D,對應!E:E,"未對應")</f>
        <v>3通路方案</v>
      </c>
    </row>
    <row r="1645" spans="1:8" x14ac:dyDescent="0.4">
      <c r="A1645" t="s">
        <v>31</v>
      </c>
      <c r="B1645">
        <v>2025</v>
      </c>
      <c r="C1645">
        <v>12</v>
      </c>
      <c r="D1645" t="s">
        <v>10</v>
      </c>
      <c r="E1645" t="s">
        <v>27</v>
      </c>
      <c r="F1645">
        <v>-5685468</v>
      </c>
      <c r="G1645" s="3" t="s">
        <v>28</v>
      </c>
      <c r="H1645" t="str">
        <f>_xlfn.XLOOKUP(TRIM(D1645),對應!D:D,對應!E:E,"未對應")</f>
        <v>3通路方案</v>
      </c>
    </row>
    <row r="1646" spans="1:8" x14ac:dyDescent="0.4">
      <c r="A1646" t="s">
        <v>31</v>
      </c>
      <c r="B1646">
        <v>2025</v>
      </c>
      <c r="C1646">
        <v>12</v>
      </c>
      <c r="D1646" t="s">
        <v>10</v>
      </c>
      <c r="E1646" t="s">
        <v>16</v>
      </c>
      <c r="F1646">
        <v>-464151</v>
      </c>
      <c r="G1646" s="3" t="s">
        <v>16</v>
      </c>
      <c r="H1646" t="str">
        <f>_xlfn.XLOOKUP(TRIM(D1646),對應!D:D,對應!E:E,"未對應")</f>
        <v>3通路方案</v>
      </c>
    </row>
    <row r="1647" spans="1:8" x14ac:dyDescent="0.4">
      <c r="A1647" t="s">
        <v>31</v>
      </c>
      <c r="B1647">
        <v>2025</v>
      </c>
      <c r="C1647">
        <v>12</v>
      </c>
      <c r="D1647" t="s">
        <v>10</v>
      </c>
      <c r="E1647" t="s">
        <v>11</v>
      </c>
      <c r="F1647">
        <v>-1238374</v>
      </c>
      <c r="G1647" s="3" t="s">
        <v>12</v>
      </c>
      <c r="H1647" t="str">
        <f>_xlfn.XLOOKUP(TRIM(D1647),對應!D:D,對應!E:E,"未對應")</f>
        <v>3通路方案</v>
      </c>
    </row>
    <row r="1648" spans="1:8" x14ac:dyDescent="0.4">
      <c r="A1648" t="s">
        <v>31</v>
      </c>
      <c r="B1648">
        <v>2025</v>
      </c>
      <c r="C1648">
        <v>12</v>
      </c>
      <c r="D1648" t="s">
        <v>10</v>
      </c>
      <c r="E1648" t="s">
        <v>26</v>
      </c>
      <c r="F1648">
        <v>-67466</v>
      </c>
      <c r="G1648" s="3" t="s">
        <v>14</v>
      </c>
      <c r="H1648" t="str">
        <f>_xlfn.XLOOKUP(TRIM(D1648),對應!D:D,對應!E:E,"未對應")</f>
        <v>3通路方案</v>
      </c>
    </row>
    <row r="1649" spans="1:8" x14ac:dyDescent="0.4">
      <c r="A1649" t="s">
        <v>31</v>
      </c>
      <c r="B1649">
        <v>2025</v>
      </c>
      <c r="C1649">
        <v>12</v>
      </c>
      <c r="D1649" t="s">
        <v>10</v>
      </c>
      <c r="E1649" t="s">
        <v>21</v>
      </c>
      <c r="F1649">
        <v>-19750609</v>
      </c>
      <c r="G1649" s="3" t="s">
        <v>22</v>
      </c>
      <c r="H1649" t="str">
        <f>_xlfn.XLOOKUP(TRIM(D1649),對應!D:D,對應!E:E,"未對應")</f>
        <v>3通路方案</v>
      </c>
    </row>
    <row r="1650" spans="1:8" x14ac:dyDescent="0.4">
      <c r="A1650" t="s">
        <v>31</v>
      </c>
      <c r="B1650">
        <v>2025</v>
      </c>
      <c r="C1650">
        <v>12</v>
      </c>
      <c r="D1650" t="s">
        <v>10</v>
      </c>
      <c r="E1650" t="s">
        <v>16</v>
      </c>
      <c r="F1650">
        <v>-1048363</v>
      </c>
      <c r="G1650" s="3" t="s">
        <v>16</v>
      </c>
      <c r="H1650" t="str">
        <f>_xlfn.XLOOKUP(TRIM(D1650),對應!D:D,對應!E:E,"未對應")</f>
        <v>3通路方案</v>
      </c>
    </row>
    <row r="1651" spans="1:8" x14ac:dyDescent="0.4">
      <c r="A1651" t="s">
        <v>31</v>
      </c>
      <c r="B1651">
        <v>2025</v>
      </c>
      <c r="C1651">
        <v>12</v>
      </c>
      <c r="D1651" t="s">
        <v>32</v>
      </c>
      <c r="E1651" t="s">
        <v>16</v>
      </c>
      <c r="F1651">
        <v>-31438</v>
      </c>
      <c r="G1651" s="3" t="s">
        <v>32</v>
      </c>
      <c r="H1651" t="str">
        <f>_xlfn.XLOOKUP(TRIM(D1651),對應!D:D,對應!E:E,"未對應")</f>
        <v>5百事益</v>
      </c>
    </row>
    <row r="1652" spans="1:8" x14ac:dyDescent="0.4">
      <c r="A1652" t="s">
        <v>31</v>
      </c>
      <c r="B1652">
        <v>2025</v>
      </c>
      <c r="C1652">
        <v>12</v>
      </c>
      <c r="D1652" t="s">
        <v>32</v>
      </c>
      <c r="E1652" t="s">
        <v>16</v>
      </c>
      <c r="F1652">
        <v>-8013169</v>
      </c>
      <c r="G1652" s="3" t="s">
        <v>32</v>
      </c>
      <c r="H1652" t="str">
        <f>_xlfn.XLOOKUP(TRIM(D1652),對應!D:D,對應!E:E,"未對應")</f>
        <v>5百事益</v>
      </c>
    </row>
    <row r="1653" spans="1:8" x14ac:dyDescent="0.4">
      <c r="A1653" t="s">
        <v>31</v>
      </c>
      <c r="B1653">
        <v>2025</v>
      </c>
      <c r="C1653">
        <v>12</v>
      </c>
      <c r="D1653" t="s">
        <v>8</v>
      </c>
      <c r="E1653" t="s">
        <v>16</v>
      </c>
      <c r="F1653">
        <v>-17574</v>
      </c>
      <c r="G1653" s="3" t="s">
        <v>16</v>
      </c>
      <c r="H1653" t="str">
        <f>_xlfn.XLOOKUP(TRIM(D1653),對應!D:D,對應!E:E,"未對應")</f>
        <v>1網通+技鋼</v>
      </c>
    </row>
    <row r="1654" spans="1:8" x14ac:dyDescent="0.4">
      <c r="A1654" t="s">
        <v>31</v>
      </c>
      <c r="B1654">
        <v>2025</v>
      </c>
      <c r="C1654">
        <v>12</v>
      </c>
      <c r="D1654" t="s">
        <v>8</v>
      </c>
      <c r="E1654" t="s">
        <v>16</v>
      </c>
      <c r="F1654">
        <v>-7586115</v>
      </c>
      <c r="G1654" s="3" t="s">
        <v>16</v>
      </c>
      <c r="H1654" t="str">
        <f>_xlfn.XLOOKUP(TRIM(D1654),對應!D:D,對應!E:E,"未對應")</f>
        <v>1網通+技鋼</v>
      </c>
    </row>
    <row r="1655" spans="1:8" x14ac:dyDescent="0.4">
      <c r="A1655" t="s">
        <v>31</v>
      </c>
      <c r="B1655">
        <v>2025</v>
      </c>
      <c r="C1655">
        <v>12</v>
      </c>
      <c r="D1655" t="s">
        <v>32</v>
      </c>
      <c r="E1655" t="s">
        <v>16</v>
      </c>
      <c r="F1655">
        <v>-23144936</v>
      </c>
      <c r="G1655" s="3" t="s">
        <v>32</v>
      </c>
      <c r="H1655" t="str">
        <f>_xlfn.XLOOKUP(TRIM(D1655),對應!D:D,對應!E:E,"未對應")</f>
        <v>5百事益</v>
      </c>
    </row>
    <row r="1656" spans="1:8" x14ac:dyDescent="0.4">
      <c r="A1656" t="s">
        <v>31</v>
      </c>
      <c r="B1656">
        <v>2025</v>
      </c>
      <c r="C1656">
        <v>12</v>
      </c>
      <c r="D1656" t="s">
        <v>32</v>
      </c>
      <c r="E1656" t="s">
        <v>16</v>
      </c>
      <c r="F1656">
        <v>-140350</v>
      </c>
      <c r="G1656" s="3" t="s">
        <v>32</v>
      </c>
      <c r="H1656" t="str">
        <f>_xlfn.XLOOKUP(TRIM(D1656),對應!D:D,對應!E:E,"未對應")</f>
        <v>5百事益</v>
      </c>
    </row>
    <row r="1657" spans="1:8" x14ac:dyDescent="0.4">
      <c r="A1657" t="s">
        <v>31</v>
      </c>
      <c r="B1657">
        <v>2025</v>
      </c>
      <c r="C1657">
        <v>12</v>
      </c>
      <c r="D1657" t="s">
        <v>32</v>
      </c>
      <c r="E1657" t="s">
        <v>16</v>
      </c>
      <c r="F1657">
        <v>-13494</v>
      </c>
      <c r="G1657" s="3" t="s">
        <v>32</v>
      </c>
      <c r="H1657" t="str">
        <f>_xlfn.XLOOKUP(TRIM(D1657),對應!D:D,對應!E:E,"未對應")</f>
        <v>5百事益</v>
      </c>
    </row>
    <row r="1658" spans="1:8" x14ac:dyDescent="0.4">
      <c r="A1658" t="s">
        <v>36</v>
      </c>
      <c r="B1658">
        <v>2025</v>
      </c>
      <c r="C1658">
        <v>12</v>
      </c>
      <c r="D1658" t="s">
        <v>32</v>
      </c>
      <c r="E1658" t="s">
        <v>16</v>
      </c>
      <c r="F1658">
        <v>87030330</v>
      </c>
      <c r="G1658" s="3" t="s">
        <v>32</v>
      </c>
      <c r="H1658" t="str">
        <f>_xlfn.XLOOKUP(TRIM(D1658),對應!D:D,對應!E:E,"未對應")</f>
        <v>5百事益</v>
      </c>
    </row>
    <row r="1659" spans="1:8" x14ac:dyDescent="0.4">
      <c r="A1659" t="s">
        <v>36</v>
      </c>
      <c r="B1659">
        <v>2025</v>
      </c>
      <c r="C1659">
        <v>12</v>
      </c>
      <c r="D1659" t="s">
        <v>39</v>
      </c>
      <c r="E1659" t="s">
        <v>40</v>
      </c>
      <c r="F1659">
        <v>141829700</v>
      </c>
      <c r="G1659" s="3" t="s">
        <v>42</v>
      </c>
      <c r="H1659" t="str">
        <f>_xlfn.XLOOKUP(TRIM(D1659),對應!D:D,對應!E:E,"未對應")</f>
        <v>2技宸</v>
      </c>
    </row>
    <row r="1660" spans="1:8" x14ac:dyDescent="0.4">
      <c r="A1660" t="s">
        <v>36</v>
      </c>
      <c r="B1660">
        <v>2025</v>
      </c>
      <c r="C1660">
        <v>12</v>
      </c>
      <c r="D1660" t="s">
        <v>8</v>
      </c>
      <c r="E1660" t="s">
        <v>16</v>
      </c>
      <c r="F1660">
        <v>21433775082</v>
      </c>
      <c r="G1660" s="3" t="s">
        <v>16</v>
      </c>
      <c r="H1660" t="str">
        <f>_xlfn.XLOOKUP(TRIM(D1660),對應!D:D,對應!E:E,"未對應")</f>
        <v>1網通+技鋼</v>
      </c>
    </row>
    <row r="1661" spans="1:8" x14ac:dyDescent="0.4">
      <c r="A1661" t="s">
        <v>36</v>
      </c>
      <c r="B1661">
        <v>2025</v>
      </c>
      <c r="C1661">
        <v>12</v>
      </c>
      <c r="D1661" t="s">
        <v>17</v>
      </c>
      <c r="E1661" t="s">
        <v>18</v>
      </c>
      <c r="F1661">
        <v>406333105</v>
      </c>
      <c r="G1661" s="3" t="s">
        <v>19</v>
      </c>
      <c r="H1661" t="str">
        <f>_xlfn.XLOOKUP(TRIM(D1661),對應!D:D,對應!E:E,"未對應")</f>
        <v>4筆電+盈嘉</v>
      </c>
    </row>
    <row r="1662" spans="1:8" x14ac:dyDescent="0.4">
      <c r="A1662" t="s">
        <v>36</v>
      </c>
      <c r="B1662">
        <v>2025</v>
      </c>
      <c r="C1662">
        <v>12</v>
      </c>
      <c r="D1662" t="s">
        <v>15</v>
      </c>
      <c r="E1662" t="s">
        <v>16</v>
      </c>
      <c r="F1662">
        <v>4610464</v>
      </c>
      <c r="G1662" s="3" t="s">
        <v>16</v>
      </c>
      <c r="H1662" t="str">
        <f>_xlfn.XLOOKUP(TRIM(D1662),對應!D:D,對應!E:E,"未對應")</f>
        <v>7製造</v>
      </c>
    </row>
    <row r="1663" spans="1:8" x14ac:dyDescent="0.4">
      <c r="A1663" t="s">
        <v>36</v>
      </c>
      <c r="B1663">
        <v>2025</v>
      </c>
      <c r="C1663">
        <v>12</v>
      </c>
      <c r="D1663" t="s">
        <v>37</v>
      </c>
      <c r="E1663" t="s">
        <v>16</v>
      </c>
      <c r="F1663">
        <v>44594691</v>
      </c>
      <c r="G1663" s="3" t="s">
        <v>37</v>
      </c>
      <c r="H1663" t="str">
        <f>_xlfn.XLOOKUP(TRIM(D1663),對應!D:D,對應!E:E,"未對應")</f>
        <v>6雲城</v>
      </c>
    </row>
    <row r="1664" spans="1:8" x14ac:dyDescent="0.4">
      <c r="A1664" t="s">
        <v>36</v>
      </c>
      <c r="B1664">
        <v>2025</v>
      </c>
      <c r="C1664">
        <v>12</v>
      </c>
      <c r="D1664" t="s">
        <v>15</v>
      </c>
      <c r="E1664" t="s">
        <v>16</v>
      </c>
      <c r="F1664">
        <v>1050000</v>
      </c>
      <c r="G1664" s="3" t="s">
        <v>16</v>
      </c>
      <c r="H1664" t="str">
        <f>_xlfn.XLOOKUP(TRIM(D1664),對應!D:D,對應!E:E,"未對應")</f>
        <v>7製造</v>
      </c>
    </row>
    <row r="1665" spans="1:8" x14ac:dyDescent="0.4">
      <c r="A1665" t="s">
        <v>41</v>
      </c>
      <c r="B1665">
        <v>2025</v>
      </c>
      <c r="C1665">
        <v>12</v>
      </c>
      <c r="D1665" t="s">
        <v>32</v>
      </c>
      <c r="E1665" t="s">
        <v>16</v>
      </c>
      <c r="F1665">
        <v>-61873827</v>
      </c>
      <c r="G1665" s="3" t="s">
        <v>32</v>
      </c>
      <c r="H1665" t="str">
        <f>_xlfn.XLOOKUP(TRIM(D1665),對應!D:D,對應!E:E,"未對應")</f>
        <v>5百事益</v>
      </c>
    </row>
    <row r="1666" spans="1:8" x14ac:dyDescent="0.4">
      <c r="A1666" t="s">
        <v>41</v>
      </c>
      <c r="B1666">
        <v>2025</v>
      </c>
      <c r="C1666">
        <v>12</v>
      </c>
      <c r="D1666" t="s">
        <v>32</v>
      </c>
      <c r="E1666" t="s">
        <v>16</v>
      </c>
      <c r="F1666">
        <v>-253019</v>
      </c>
      <c r="G1666" s="3" t="s">
        <v>32</v>
      </c>
      <c r="H1666" t="str">
        <f>_xlfn.XLOOKUP(TRIM(D1666),對應!D:D,對應!E:E,"未對應")</f>
        <v>5百事益</v>
      </c>
    </row>
    <row r="1667" spans="1:8" x14ac:dyDescent="0.4">
      <c r="A1667" t="s">
        <v>41</v>
      </c>
      <c r="B1667">
        <v>2025</v>
      </c>
      <c r="C1667">
        <v>12</v>
      </c>
      <c r="D1667" t="s">
        <v>32</v>
      </c>
      <c r="E1667" t="s">
        <v>16</v>
      </c>
      <c r="F1667">
        <v>-8662281</v>
      </c>
      <c r="G1667" s="3" t="s">
        <v>32</v>
      </c>
      <c r="H1667" t="str">
        <f>_xlfn.XLOOKUP(TRIM(D1667),對應!D:D,對應!E:E,"未對應")</f>
        <v>5百事益</v>
      </c>
    </row>
    <row r="1668" spans="1:8" x14ac:dyDescent="0.4">
      <c r="A1668" t="s">
        <v>41</v>
      </c>
      <c r="B1668">
        <v>2025</v>
      </c>
      <c r="C1668">
        <v>11</v>
      </c>
      <c r="D1668" t="s">
        <v>32</v>
      </c>
      <c r="E1668" t="s">
        <v>16</v>
      </c>
      <c r="F1668">
        <v>-52355326</v>
      </c>
      <c r="G1668" s="3" t="s">
        <v>32</v>
      </c>
      <c r="H1668" t="str">
        <f>_xlfn.XLOOKUP(TRIM(D1668),對應!D:D,對應!E:E,"未對應")</f>
        <v>5百事益</v>
      </c>
    </row>
    <row r="1669" spans="1:8" x14ac:dyDescent="0.4">
      <c r="A1669" t="s">
        <v>41</v>
      </c>
      <c r="B1669">
        <v>2025</v>
      </c>
      <c r="C1669">
        <v>11</v>
      </c>
      <c r="D1669" t="s">
        <v>32</v>
      </c>
      <c r="E1669" t="s">
        <v>16</v>
      </c>
      <c r="F1669">
        <v>-86883</v>
      </c>
      <c r="G1669" s="3" t="s">
        <v>32</v>
      </c>
      <c r="H1669" t="str">
        <f>_xlfn.XLOOKUP(TRIM(D1669),對應!D:D,對應!E:E,"未對應")</f>
        <v>5百事益</v>
      </c>
    </row>
    <row r="1670" spans="1:8" x14ac:dyDescent="0.4">
      <c r="A1670" t="s">
        <v>41</v>
      </c>
      <c r="B1670">
        <v>2025</v>
      </c>
      <c r="C1670">
        <v>11</v>
      </c>
      <c r="D1670" t="s">
        <v>32</v>
      </c>
      <c r="E1670" t="s">
        <v>16</v>
      </c>
      <c r="F1670">
        <v>-12769516</v>
      </c>
      <c r="G1670" s="3" t="s">
        <v>32</v>
      </c>
      <c r="H1670" t="str">
        <f>_xlfn.XLOOKUP(TRIM(D1670),對應!D:D,對應!E:E,"未對應")</f>
        <v>5百事益</v>
      </c>
    </row>
    <row r="1671" spans="1:8" x14ac:dyDescent="0.4">
      <c r="A1671" t="s">
        <v>41</v>
      </c>
      <c r="B1671">
        <v>2025</v>
      </c>
      <c r="C1671">
        <v>11</v>
      </c>
      <c r="D1671" t="s">
        <v>32</v>
      </c>
      <c r="E1671" t="s">
        <v>16</v>
      </c>
      <c r="F1671">
        <v>-52863</v>
      </c>
      <c r="G1671" s="3" t="s">
        <v>32</v>
      </c>
      <c r="H1671" t="str">
        <f>_xlfn.XLOOKUP(TRIM(D1671),對應!D:D,對應!E:E,"未對應")</f>
        <v>5百事益</v>
      </c>
    </row>
    <row r="1672" spans="1:8" x14ac:dyDescent="0.4">
      <c r="A1672" t="s">
        <v>41</v>
      </c>
      <c r="B1672">
        <v>2025</v>
      </c>
      <c r="C1672">
        <v>11</v>
      </c>
      <c r="D1672" t="s">
        <v>39</v>
      </c>
      <c r="E1672" t="s">
        <v>40</v>
      </c>
      <c r="F1672">
        <v>-311039</v>
      </c>
      <c r="G1672" s="3" t="s">
        <v>42</v>
      </c>
      <c r="H1672" t="str">
        <f>_xlfn.XLOOKUP(TRIM(D1672),對應!D:D,對應!E:E,"未對應")</f>
        <v>2技宸</v>
      </c>
    </row>
    <row r="1673" spans="1:8" x14ac:dyDescent="0.4">
      <c r="A1673" t="s">
        <v>41</v>
      </c>
      <c r="B1673">
        <v>2025</v>
      </c>
      <c r="C1673">
        <v>11</v>
      </c>
      <c r="D1673" t="s">
        <v>39</v>
      </c>
      <c r="E1673" t="s">
        <v>40</v>
      </c>
      <c r="F1673">
        <v>-658157</v>
      </c>
      <c r="G1673" s="3" t="s">
        <v>42</v>
      </c>
      <c r="H1673" t="str">
        <f>_xlfn.XLOOKUP(TRIM(D1673),對應!D:D,對應!E:E,"未對應")</f>
        <v>2技宸</v>
      </c>
    </row>
    <row r="1674" spans="1:8" x14ac:dyDescent="0.4">
      <c r="A1674" t="s">
        <v>41</v>
      </c>
      <c r="B1674">
        <v>2025</v>
      </c>
      <c r="C1674">
        <v>11</v>
      </c>
      <c r="D1674" t="s">
        <v>39</v>
      </c>
      <c r="E1674" t="s">
        <v>40</v>
      </c>
      <c r="F1674">
        <v>-81666</v>
      </c>
      <c r="G1674" s="3" t="s">
        <v>42</v>
      </c>
      <c r="H1674" t="str">
        <f>_xlfn.XLOOKUP(TRIM(D1674),對應!D:D,對應!E:E,"未對應")</f>
        <v>2技宸</v>
      </c>
    </row>
    <row r="1675" spans="1:8" x14ac:dyDescent="0.4">
      <c r="A1675" t="s">
        <v>41</v>
      </c>
      <c r="B1675">
        <v>2025</v>
      </c>
      <c r="C1675">
        <v>11</v>
      </c>
      <c r="D1675" t="s">
        <v>39</v>
      </c>
      <c r="E1675" t="s">
        <v>40</v>
      </c>
      <c r="F1675">
        <v>-37940</v>
      </c>
      <c r="G1675" s="3" t="s">
        <v>42</v>
      </c>
      <c r="H1675" t="str">
        <f>_xlfn.XLOOKUP(TRIM(D1675),對應!D:D,對應!E:E,"未對應")</f>
        <v>2技宸</v>
      </c>
    </row>
    <row r="1676" spans="1:8" x14ac:dyDescent="0.4">
      <c r="A1676" t="s">
        <v>41</v>
      </c>
      <c r="B1676">
        <v>2025</v>
      </c>
      <c r="C1676">
        <v>11</v>
      </c>
      <c r="D1676" t="s">
        <v>8</v>
      </c>
      <c r="E1676" t="s">
        <v>33</v>
      </c>
      <c r="F1676">
        <v>-91547925</v>
      </c>
      <c r="G1676" s="3" t="s">
        <v>9</v>
      </c>
      <c r="H1676" t="str">
        <f>_xlfn.XLOOKUP(TRIM(D1676),對應!D:D,對應!E:E,"未對應")</f>
        <v>1網通+技鋼</v>
      </c>
    </row>
    <row r="1677" spans="1:8" x14ac:dyDescent="0.4">
      <c r="A1677" t="s">
        <v>41</v>
      </c>
      <c r="B1677">
        <v>2025</v>
      </c>
      <c r="C1677">
        <v>11</v>
      </c>
      <c r="D1677" t="s">
        <v>8</v>
      </c>
      <c r="E1677" t="s">
        <v>33</v>
      </c>
      <c r="F1677">
        <v>-19601811</v>
      </c>
      <c r="G1677" s="3" t="s">
        <v>9</v>
      </c>
      <c r="H1677" t="str">
        <f>_xlfn.XLOOKUP(TRIM(D1677),對應!D:D,對應!E:E,"未對應")</f>
        <v>1網通+技鋼</v>
      </c>
    </row>
    <row r="1678" spans="1:8" x14ac:dyDescent="0.4">
      <c r="A1678" t="s">
        <v>41</v>
      </c>
      <c r="B1678">
        <v>2025</v>
      </c>
      <c r="C1678">
        <v>11</v>
      </c>
      <c r="D1678" t="s">
        <v>8</v>
      </c>
      <c r="E1678" t="s">
        <v>33</v>
      </c>
      <c r="F1678">
        <v>-60325604</v>
      </c>
      <c r="G1678" s="3" t="s">
        <v>9</v>
      </c>
      <c r="H1678" t="str">
        <f>_xlfn.XLOOKUP(TRIM(D1678),對應!D:D,對應!E:E,"未對應")</f>
        <v>1網通+技鋼</v>
      </c>
    </row>
    <row r="1679" spans="1:8" x14ac:dyDescent="0.4">
      <c r="A1679" t="s">
        <v>41</v>
      </c>
      <c r="B1679">
        <v>2025</v>
      </c>
      <c r="C1679">
        <v>11</v>
      </c>
      <c r="D1679" t="s">
        <v>8</v>
      </c>
      <c r="E1679" t="s">
        <v>33</v>
      </c>
      <c r="F1679">
        <v>-141006286</v>
      </c>
      <c r="G1679" s="3" t="s">
        <v>9</v>
      </c>
      <c r="H1679" t="str">
        <f>_xlfn.XLOOKUP(TRIM(D1679),對應!D:D,對應!E:E,"未對應")</f>
        <v>1網通+技鋼</v>
      </c>
    </row>
    <row r="1680" spans="1:8" x14ac:dyDescent="0.4">
      <c r="A1680" t="s">
        <v>41</v>
      </c>
      <c r="B1680">
        <v>2025</v>
      </c>
      <c r="C1680">
        <v>11</v>
      </c>
      <c r="D1680" t="s">
        <v>8</v>
      </c>
      <c r="E1680" t="s">
        <v>33</v>
      </c>
      <c r="F1680">
        <v>-12056</v>
      </c>
      <c r="G1680" s="3" t="s">
        <v>9</v>
      </c>
      <c r="H1680" t="str">
        <f>_xlfn.XLOOKUP(TRIM(D1680),對應!D:D,對應!E:E,"未對應")</f>
        <v>1網通+技鋼</v>
      </c>
    </row>
    <row r="1681" spans="1:8" x14ac:dyDescent="0.4">
      <c r="A1681" t="s">
        <v>41</v>
      </c>
      <c r="B1681">
        <v>2025</v>
      </c>
      <c r="C1681">
        <v>11</v>
      </c>
      <c r="D1681" t="s">
        <v>8</v>
      </c>
      <c r="E1681" t="s">
        <v>33</v>
      </c>
      <c r="F1681">
        <v>-318783</v>
      </c>
      <c r="G1681" s="3" t="s">
        <v>9</v>
      </c>
      <c r="H1681" t="str">
        <f>_xlfn.XLOOKUP(TRIM(D1681),對應!D:D,對應!E:E,"未對應")</f>
        <v>1網通+技鋼</v>
      </c>
    </row>
    <row r="1682" spans="1:8" x14ac:dyDescent="0.4">
      <c r="A1682" t="s">
        <v>41</v>
      </c>
      <c r="B1682">
        <v>2025</v>
      </c>
      <c r="C1682">
        <v>11</v>
      </c>
      <c r="D1682" t="s">
        <v>17</v>
      </c>
      <c r="E1682" t="s">
        <v>18</v>
      </c>
      <c r="F1682">
        <v>-170060993</v>
      </c>
      <c r="G1682" s="3" t="s">
        <v>19</v>
      </c>
      <c r="H1682" t="str">
        <f>_xlfn.XLOOKUP(TRIM(D1682),對應!D:D,對應!E:E,"未對應")</f>
        <v>4筆電+盈嘉</v>
      </c>
    </row>
    <row r="1683" spans="1:8" x14ac:dyDescent="0.4">
      <c r="A1683" t="s">
        <v>41</v>
      </c>
      <c r="B1683">
        <v>2025</v>
      </c>
      <c r="C1683">
        <v>11</v>
      </c>
      <c r="D1683" t="s">
        <v>37</v>
      </c>
      <c r="E1683" t="s">
        <v>16</v>
      </c>
      <c r="F1683">
        <v>-419995</v>
      </c>
      <c r="G1683" s="3" t="s">
        <v>37</v>
      </c>
      <c r="H1683" t="str">
        <f>_xlfn.XLOOKUP(TRIM(D1683),對應!D:D,對應!E:E,"未對應")</f>
        <v>6雲城</v>
      </c>
    </row>
    <row r="1684" spans="1:8" x14ac:dyDescent="0.4">
      <c r="A1684" t="s">
        <v>46</v>
      </c>
      <c r="B1684">
        <v>2025</v>
      </c>
      <c r="C1684">
        <v>11</v>
      </c>
      <c r="D1684" t="s">
        <v>15</v>
      </c>
      <c r="E1684" t="s">
        <v>16</v>
      </c>
      <c r="F1684">
        <v>14857297</v>
      </c>
      <c r="G1684" s="3" t="s">
        <v>16</v>
      </c>
      <c r="H1684" t="str">
        <f>_xlfn.XLOOKUP(TRIM(D1684),對應!D:D,對應!E:E,"未對應")</f>
        <v>7製造</v>
      </c>
    </row>
    <row r="1685" spans="1:8" x14ac:dyDescent="0.4">
      <c r="A1685" t="s">
        <v>45</v>
      </c>
      <c r="B1685">
        <v>2025</v>
      </c>
      <c r="C1685">
        <v>11</v>
      </c>
      <c r="D1685" t="s">
        <v>15</v>
      </c>
      <c r="E1685" t="s">
        <v>16</v>
      </c>
      <c r="F1685">
        <v>339535</v>
      </c>
      <c r="G1685" s="3" t="s">
        <v>16</v>
      </c>
      <c r="H1685" t="str">
        <f>_xlfn.XLOOKUP(TRIM(D1685),對應!D:D,對應!E:E,"未對應")</f>
        <v>7製造</v>
      </c>
    </row>
    <row r="1686" spans="1:8" x14ac:dyDescent="0.4">
      <c r="A1686" t="s">
        <v>43</v>
      </c>
      <c r="B1686">
        <v>2025</v>
      </c>
      <c r="C1686">
        <v>11</v>
      </c>
      <c r="D1686" t="s">
        <v>32</v>
      </c>
      <c r="E1686" t="s">
        <v>16</v>
      </c>
      <c r="F1686">
        <v>6188547</v>
      </c>
      <c r="G1686" s="3" t="s">
        <v>32</v>
      </c>
      <c r="H1686" t="str">
        <f>_xlfn.XLOOKUP(TRIM(D1686),對應!D:D,對應!E:E,"未對應")</f>
        <v>5百事益</v>
      </c>
    </row>
    <row r="1687" spans="1:8" x14ac:dyDescent="0.4">
      <c r="A1687" t="s">
        <v>43</v>
      </c>
      <c r="B1687">
        <v>2025</v>
      </c>
      <c r="C1687">
        <v>11</v>
      </c>
      <c r="D1687" t="s">
        <v>32</v>
      </c>
      <c r="E1687" t="s">
        <v>16</v>
      </c>
      <c r="F1687">
        <v>502754</v>
      </c>
      <c r="G1687" s="3" t="s">
        <v>32</v>
      </c>
      <c r="H1687" t="str">
        <f>_xlfn.XLOOKUP(TRIM(D1687),對應!D:D,對應!E:E,"未對應")</f>
        <v>5百事益</v>
      </c>
    </row>
    <row r="1688" spans="1:8" x14ac:dyDescent="0.4">
      <c r="A1688" t="s">
        <v>43</v>
      </c>
      <c r="B1688">
        <v>2025</v>
      </c>
      <c r="C1688">
        <v>11</v>
      </c>
      <c r="D1688" t="s">
        <v>10</v>
      </c>
      <c r="E1688" t="s">
        <v>24</v>
      </c>
      <c r="F1688">
        <v>654237629</v>
      </c>
      <c r="G1688" s="3" t="s">
        <v>14</v>
      </c>
      <c r="H1688" t="str">
        <f>_xlfn.XLOOKUP(TRIM(D1688),對應!D:D,對應!E:E,"未對應")</f>
        <v>3通路方案</v>
      </c>
    </row>
    <row r="1689" spans="1:8" x14ac:dyDescent="0.4">
      <c r="A1689" t="s">
        <v>43</v>
      </c>
      <c r="B1689">
        <v>2025</v>
      </c>
      <c r="C1689">
        <v>11</v>
      </c>
      <c r="D1689" t="s">
        <v>10</v>
      </c>
      <c r="E1689" t="s">
        <v>25</v>
      </c>
      <c r="F1689">
        <v>31940</v>
      </c>
      <c r="G1689" s="3" t="s">
        <v>14</v>
      </c>
      <c r="H1689" t="str">
        <f>_xlfn.XLOOKUP(TRIM(D1689),對應!D:D,對應!E:E,"未對應")</f>
        <v>3通路方案</v>
      </c>
    </row>
    <row r="1690" spans="1:8" x14ac:dyDescent="0.4">
      <c r="A1690" t="s">
        <v>43</v>
      </c>
      <c r="B1690">
        <v>2025</v>
      </c>
      <c r="C1690">
        <v>11</v>
      </c>
      <c r="D1690" t="s">
        <v>10</v>
      </c>
      <c r="E1690" t="s">
        <v>27</v>
      </c>
      <c r="F1690">
        <v>23721528</v>
      </c>
      <c r="G1690" s="3" t="s">
        <v>28</v>
      </c>
      <c r="H1690" t="str">
        <f>_xlfn.XLOOKUP(TRIM(D1690),對應!D:D,對應!E:E,"未對應")</f>
        <v>3通路方案</v>
      </c>
    </row>
    <row r="1691" spans="1:8" x14ac:dyDescent="0.4">
      <c r="A1691" t="s">
        <v>43</v>
      </c>
      <c r="B1691">
        <v>2025</v>
      </c>
      <c r="C1691">
        <v>11</v>
      </c>
      <c r="D1691" t="s">
        <v>10</v>
      </c>
      <c r="E1691" t="s">
        <v>16</v>
      </c>
      <c r="F1691">
        <v>217</v>
      </c>
      <c r="G1691" s="3" t="s">
        <v>16</v>
      </c>
      <c r="H1691" t="str">
        <f>_xlfn.XLOOKUP(TRIM(D1691),對應!D:D,對應!E:E,"未對應")</f>
        <v>3通路方案</v>
      </c>
    </row>
    <row r="1692" spans="1:8" x14ac:dyDescent="0.4">
      <c r="A1692" t="s">
        <v>43</v>
      </c>
      <c r="B1692">
        <v>2025</v>
      </c>
      <c r="C1692">
        <v>11</v>
      </c>
      <c r="D1692" t="s">
        <v>10</v>
      </c>
      <c r="E1692" t="s">
        <v>21</v>
      </c>
      <c r="F1692">
        <v>1933228208</v>
      </c>
      <c r="G1692" s="3" t="s">
        <v>22</v>
      </c>
      <c r="H1692" t="str">
        <f>_xlfn.XLOOKUP(TRIM(D1692),對應!D:D,對應!E:E,"未對應")</f>
        <v>3通路方案</v>
      </c>
    </row>
    <row r="1693" spans="1:8" x14ac:dyDescent="0.4">
      <c r="A1693" t="s">
        <v>43</v>
      </c>
      <c r="B1693">
        <v>2025</v>
      </c>
      <c r="C1693">
        <v>11</v>
      </c>
      <c r="D1693" t="s">
        <v>8</v>
      </c>
      <c r="E1693" t="s">
        <v>33</v>
      </c>
      <c r="F1693">
        <v>20119727</v>
      </c>
      <c r="G1693" s="3" t="s">
        <v>9</v>
      </c>
      <c r="H1693" t="str">
        <f>_xlfn.XLOOKUP(TRIM(D1693),對應!D:D,對應!E:E,"未對應")</f>
        <v>1網通+技鋼</v>
      </c>
    </row>
    <row r="1694" spans="1:8" x14ac:dyDescent="0.4">
      <c r="A1694" t="s">
        <v>43</v>
      </c>
      <c r="B1694">
        <v>2025</v>
      </c>
      <c r="C1694">
        <v>11</v>
      </c>
      <c r="D1694" t="s">
        <v>32</v>
      </c>
      <c r="E1694" t="s">
        <v>16</v>
      </c>
      <c r="F1694">
        <v>4779773</v>
      </c>
      <c r="G1694" s="3" t="s">
        <v>32</v>
      </c>
      <c r="H1694" t="str">
        <f>_xlfn.XLOOKUP(TRIM(D1694),對應!D:D,對應!E:E,"未對應")</f>
        <v>5百事益</v>
      </c>
    </row>
    <row r="1695" spans="1:8" x14ac:dyDescent="0.4">
      <c r="A1695" t="s">
        <v>43</v>
      </c>
      <c r="B1695">
        <v>2025</v>
      </c>
      <c r="C1695">
        <v>11</v>
      </c>
      <c r="D1695" t="s">
        <v>10</v>
      </c>
      <c r="E1695" t="s">
        <v>16</v>
      </c>
      <c r="F1695">
        <v>7081508</v>
      </c>
      <c r="G1695" s="3" t="s">
        <v>16</v>
      </c>
      <c r="H1695" t="str">
        <f>_xlfn.XLOOKUP(TRIM(D1695),對應!D:D,對應!E:E,"未對應")</f>
        <v>3通路方案</v>
      </c>
    </row>
    <row r="1696" spans="1:8" x14ac:dyDescent="0.4">
      <c r="A1696" t="s">
        <v>43</v>
      </c>
      <c r="B1696">
        <v>2025</v>
      </c>
      <c r="C1696">
        <v>11</v>
      </c>
      <c r="D1696" t="s">
        <v>32</v>
      </c>
      <c r="E1696" t="s">
        <v>16</v>
      </c>
      <c r="F1696">
        <v>16849240</v>
      </c>
      <c r="G1696" s="3" t="s">
        <v>32</v>
      </c>
      <c r="H1696" t="str">
        <f>_xlfn.XLOOKUP(TRIM(D1696),對應!D:D,對應!E:E,"未對應")</f>
        <v>5百事益</v>
      </c>
    </row>
    <row r="1697" spans="1:8" x14ac:dyDescent="0.4">
      <c r="A1697" t="s">
        <v>43</v>
      </c>
      <c r="B1697">
        <v>2025</v>
      </c>
      <c r="C1697">
        <v>11</v>
      </c>
      <c r="D1697" t="s">
        <v>17</v>
      </c>
      <c r="E1697" t="s">
        <v>18</v>
      </c>
      <c r="F1697">
        <v>191606191</v>
      </c>
      <c r="G1697" s="3" t="s">
        <v>19</v>
      </c>
      <c r="H1697" t="str">
        <f>_xlfn.XLOOKUP(TRIM(D1697),對應!D:D,對應!E:E,"未對應")</f>
        <v>4筆電+盈嘉</v>
      </c>
    </row>
    <row r="1698" spans="1:8" x14ac:dyDescent="0.4">
      <c r="A1698" t="s">
        <v>43</v>
      </c>
      <c r="B1698">
        <v>2025</v>
      </c>
      <c r="C1698">
        <v>11</v>
      </c>
      <c r="D1698" t="s">
        <v>10</v>
      </c>
      <c r="E1698" t="s">
        <v>24</v>
      </c>
      <c r="F1698">
        <v>389485335</v>
      </c>
      <c r="G1698" s="3" t="s">
        <v>14</v>
      </c>
      <c r="H1698" t="str">
        <f>_xlfn.XLOOKUP(TRIM(D1698),對應!D:D,對應!E:E,"未對應")</f>
        <v>3通路方案</v>
      </c>
    </row>
    <row r="1699" spans="1:8" x14ac:dyDescent="0.4">
      <c r="A1699" t="s">
        <v>43</v>
      </c>
      <c r="B1699">
        <v>2025</v>
      </c>
      <c r="C1699">
        <v>11</v>
      </c>
      <c r="D1699" t="s">
        <v>10</v>
      </c>
      <c r="E1699" t="s">
        <v>30</v>
      </c>
      <c r="F1699">
        <v>80124</v>
      </c>
      <c r="G1699" s="3" t="s">
        <v>12</v>
      </c>
      <c r="H1699" t="str">
        <f>_xlfn.XLOOKUP(TRIM(D1699),對應!D:D,對應!E:E,"未對應")</f>
        <v>3通路方案</v>
      </c>
    </row>
    <row r="1700" spans="1:8" x14ac:dyDescent="0.4">
      <c r="A1700" t="s">
        <v>43</v>
      </c>
      <c r="B1700">
        <v>2025</v>
      </c>
      <c r="C1700">
        <v>7</v>
      </c>
      <c r="D1700" t="s">
        <v>10</v>
      </c>
      <c r="E1700" t="s">
        <v>25</v>
      </c>
      <c r="F1700">
        <v>9812</v>
      </c>
      <c r="G1700" s="3" t="s">
        <v>14</v>
      </c>
      <c r="H1700" t="str">
        <f>_xlfn.XLOOKUP(TRIM(D1700),對應!D:D,對應!E:E,"未對應")</f>
        <v>3通路方案</v>
      </c>
    </row>
    <row r="1701" spans="1:8" x14ac:dyDescent="0.4">
      <c r="A1701" t="s">
        <v>43</v>
      </c>
      <c r="B1701">
        <v>2025</v>
      </c>
      <c r="C1701">
        <v>7</v>
      </c>
      <c r="D1701" t="s">
        <v>10</v>
      </c>
      <c r="E1701" t="s">
        <v>27</v>
      </c>
      <c r="F1701">
        <v>10565733</v>
      </c>
      <c r="G1701" s="3" t="s">
        <v>28</v>
      </c>
      <c r="H1701" t="str">
        <f>_xlfn.XLOOKUP(TRIM(D1701),對應!D:D,對應!E:E,"未對應")</f>
        <v>3通路方案</v>
      </c>
    </row>
    <row r="1702" spans="1:8" x14ac:dyDescent="0.4">
      <c r="A1702" t="s">
        <v>7</v>
      </c>
      <c r="B1702">
        <v>2026</v>
      </c>
      <c r="C1702">
        <v>2</v>
      </c>
      <c r="D1702" t="s">
        <v>15</v>
      </c>
      <c r="E1702" t="s">
        <v>16</v>
      </c>
      <c r="F1702">
        <v>1920875</v>
      </c>
      <c r="G1702" s="3" t="s">
        <v>16</v>
      </c>
      <c r="H1702" t="str">
        <f>_xlfn.XLOOKUP(TRIM(D1702),對應!D:D,對應!E:E,"未對應")</f>
        <v>7製造</v>
      </c>
    </row>
    <row r="1703" spans="1:8" x14ac:dyDescent="0.4">
      <c r="A1703" t="s">
        <v>7</v>
      </c>
      <c r="B1703">
        <v>2026</v>
      </c>
      <c r="C1703">
        <v>2</v>
      </c>
      <c r="D1703" t="s">
        <v>17</v>
      </c>
      <c r="E1703" t="s">
        <v>18</v>
      </c>
      <c r="F1703">
        <v>471517892</v>
      </c>
      <c r="G1703" s="3" t="s">
        <v>19</v>
      </c>
      <c r="H1703" t="str">
        <f>_xlfn.XLOOKUP(TRIM(D1703),對應!D:D,對應!E:E,"未對應")</f>
        <v>4筆電+盈嘉</v>
      </c>
    </row>
    <row r="1704" spans="1:8" x14ac:dyDescent="0.4">
      <c r="A1704" t="s">
        <v>7</v>
      </c>
      <c r="B1704">
        <v>2026</v>
      </c>
      <c r="C1704">
        <v>2</v>
      </c>
      <c r="D1704" t="s">
        <v>10</v>
      </c>
      <c r="E1704" t="s">
        <v>24</v>
      </c>
      <c r="F1704">
        <v>1396062766</v>
      </c>
      <c r="G1704" s="3" t="s">
        <v>14</v>
      </c>
      <c r="H1704" t="str">
        <f>_xlfn.XLOOKUP(TRIM(D1704),對應!D:D,對應!E:E,"未對應")</f>
        <v>3通路方案</v>
      </c>
    </row>
    <row r="1705" spans="1:8" x14ac:dyDescent="0.4">
      <c r="A1705" t="s">
        <v>7</v>
      </c>
      <c r="B1705">
        <v>2026</v>
      </c>
      <c r="C1705">
        <v>2</v>
      </c>
      <c r="D1705" t="s">
        <v>10</v>
      </c>
      <c r="E1705" t="s">
        <v>29</v>
      </c>
      <c r="F1705">
        <v>36908401</v>
      </c>
      <c r="G1705" s="3" t="s">
        <v>12</v>
      </c>
      <c r="H1705" t="str">
        <f>_xlfn.XLOOKUP(TRIM(D1705),對應!D:D,對應!E:E,"未對應")</f>
        <v>3通路方案</v>
      </c>
    </row>
    <row r="1706" spans="1:8" x14ac:dyDescent="0.4">
      <c r="A1706" t="s">
        <v>7</v>
      </c>
      <c r="B1706">
        <v>2026</v>
      </c>
      <c r="C1706">
        <v>2</v>
      </c>
      <c r="D1706" t="s">
        <v>10</v>
      </c>
      <c r="E1706" t="s">
        <v>30</v>
      </c>
      <c r="F1706">
        <v>6046909</v>
      </c>
      <c r="G1706" s="3" t="s">
        <v>12</v>
      </c>
      <c r="H1706" t="str">
        <f>_xlfn.XLOOKUP(TRIM(D1706),對應!D:D,對應!E:E,"未對應")</f>
        <v>3通路方案</v>
      </c>
    </row>
    <row r="1707" spans="1:8" x14ac:dyDescent="0.4">
      <c r="A1707" t="s">
        <v>7</v>
      </c>
      <c r="B1707">
        <v>2026</v>
      </c>
      <c r="C1707">
        <v>2</v>
      </c>
      <c r="D1707" t="s">
        <v>10</v>
      </c>
      <c r="E1707" t="s">
        <v>20</v>
      </c>
      <c r="F1707">
        <v>17738535</v>
      </c>
      <c r="G1707" s="3" t="s">
        <v>12</v>
      </c>
      <c r="H1707" t="str">
        <f>_xlfn.XLOOKUP(TRIM(D1707),對應!D:D,對應!E:E,"未對應")</f>
        <v>3通路方案</v>
      </c>
    </row>
    <row r="1708" spans="1:8" x14ac:dyDescent="0.4">
      <c r="A1708" t="s">
        <v>7</v>
      </c>
      <c r="B1708">
        <v>2026</v>
      </c>
      <c r="C1708">
        <v>2</v>
      </c>
      <c r="D1708" t="s">
        <v>10</v>
      </c>
      <c r="E1708" t="s">
        <v>25</v>
      </c>
      <c r="F1708">
        <v>106537</v>
      </c>
      <c r="G1708" s="3" t="s">
        <v>14</v>
      </c>
      <c r="H1708" t="str">
        <f>_xlfn.XLOOKUP(TRIM(D1708),對應!D:D,對應!E:E,"未對應")</f>
        <v>3通路方案</v>
      </c>
    </row>
    <row r="1709" spans="1:8" x14ac:dyDescent="0.4">
      <c r="A1709" t="s">
        <v>7</v>
      </c>
      <c r="B1709">
        <v>2026</v>
      </c>
      <c r="C1709">
        <v>2</v>
      </c>
      <c r="D1709" t="s">
        <v>10</v>
      </c>
      <c r="E1709" t="s">
        <v>27</v>
      </c>
      <c r="F1709">
        <v>293436758</v>
      </c>
      <c r="G1709" s="3" t="s">
        <v>28</v>
      </c>
      <c r="H1709" t="str">
        <f>_xlfn.XLOOKUP(TRIM(D1709),對應!D:D,對應!E:E,"未對應")</f>
        <v>3通路方案</v>
      </c>
    </row>
    <row r="1710" spans="1:8" x14ac:dyDescent="0.4">
      <c r="A1710" t="s">
        <v>7</v>
      </c>
      <c r="B1710">
        <v>2026</v>
      </c>
      <c r="C1710">
        <v>2</v>
      </c>
      <c r="D1710" t="s">
        <v>10</v>
      </c>
      <c r="E1710" t="s">
        <v>16</v>
      </c>
      <c r="F1710">
        <v>5724961</v>
      </c>
      <c r="G1710" s="3" t="s">
        <v>16</v>
      </c>
      <c r="H1710" t="str">
        <f>_xlfn.XLOOKUP(TRIM(D1710),對應!D:D,對應!E:E,"未對應")</f>
        <v>3通路方案</v>
      </c>
    </row>
    <row r="1711" spans="1:8" x14ac:dyDescent="0.4">
      <c r="A1711" t="s">
        <v>7</v>
      </c>
      <c r="B1711">
        <v>2026</v>
      </c>
      <c r="C1711">
        <v>2</v>
      </c>
      <c r="D1711" t="s">
        <v>10</v>
      </c>
      <c r="E1711" t="s">
        <v>38</v>
      </c>
      <c r="F1711">
        <v>33891361</v>
      </c>
      <c r="G1711" s="3" t="s">
        <v>12</v>
      </c>
      <c r="H1711" t="str">
        <f>_xlfn.XLOOKUP(TRIM(D1711),對應!D:D,對應!E:E,"未對應")</f>
        <v>3通路方案</v>
      </c>
    </row>
    <row r="1712" spans="1:8" x14ac:dyDescent="0.4">
      <c r="A1712" t="s">
        <v>7</v>
      </c>
      <c r="B1712">
        <v>2026</v>
      </c>
      <c r="C1712">
        <v>2</v>
      </c>
      <c r="D1712" t="s">
        <v>10</v>
      </c>
      <c r="E1712" t="s">
        <v>11</v>
      </c>
      <c r="F1712">
        <v>68676746</v>
      </c>
      <c r="G1712" s="3" t="s">
        <v>12</v>
      </c>
      <c r="H1712" t="str">
        <f>_xlfn.XLOOKUP(TRIM(D1712),對應!D:D,對應!E:E,"未對應")</f>
        <v>3通路方案</v>
      </c>
    </row>
    <row r="1713" spans="1:8" x14ac:dyDescent="0.4">
      <c r="A1713" t="s">
        <v>7</v>
      </c>
      <c r="B1713">
        <v>2026</v>
      </c>
      <c r="C1713">
        <v>2</v>
      </c>
      <c r="D1713" t="s">
        <v>10</v>
      </c>
      <c r="E1713" t="s">
        <v>13</v>
      </c>
      <c r="F1713">
        <v>-13468</v>
      </c>
      <c r="G1713" s="3" t="s">
        <v>14</v>
      </c>
      <c r="H1713" t="str">
        <f>_xlfn.XLOOKUP(TRIM(D1713),對應!D:D,對應!E:E,"未對應")</f>
        <v>3通路方案</v>
      </c>
    </row>
    <row r="1714" spans="1:8" x14ac:dyDescent="0.4">
      <c r="A1714" t="s">
        <v>7</v>
      </c>
      <c r="B1714">
        <v>2026</v>
      </c>
      <c r="C1714">
        <v>2</v>
      </c>
      <c r="D1714" t="s">
        <v>10</v>
      </c>
      <c r="E1714" t="s">
        <v>26</v>
      </c>
      <c r="F1714">
        <v>75009997</v>
      </c>
      <c r="G1714" s="3" t="s">
        <v>14</v>
      </c>
      <c r="H1714" t="str">
        <f>_xlfn.XLOOKUP(TRIM(D1714),對應!D:D,對應!E:E,"未對應")</f>
        <v>3通路方案</v>
      </c>
    </row>
    <row r="1715" spans="1:8" x14ac:dyDescent="0.4">
      <c r="A1715" t="s">
        <v>7</v>
      </c>
      <c r="B1715">
        <v>2026</v>
      </c>
      <c r="C1715">
        <v>2</v>
      </c>
      <c r="D1715" t="s">
        <v>10</v>
      </c>
      <c r="E1715" t="s">
        <v>21</v>
      </c>
      <c r="F1715">
        <v>5559556096</v>
      </c>
      <c r="G1715" s="3" t="s">
        <v>22</v>
      </c>
      <c r="H1715" t="str">
        <f>_xlfn.XLOOKUP(TRIM(D1715),對應!D:D,對應!E:E,"未對應")</f>
        <v>3通路方案</v>
      </c>
    </row>
    <row r="1716" spans="1:8" x14ac:dyDescent="0.4">
      <c r="A1716" t="s">
        <v>7</v>
      </c>
      <c r="B1716">
        <v>2026</v>
      </c>
      <c r="C1716">
        <v>2</v>
      </c>
      <c r="D1716" t="s">
        <v>8</v>
      </c>
      <c r="E1716" t="s">
        <v>33</v>
      </c>
      <c r="F1716">
        <v>276098</v>
      </c>
      <c r="G1716" s="3" t="s">
        <v>9</v>
      </c>
      <c r="H1716" t="str">
        <f>_xlfn.XLOOKUP(TRIM(D1716),對應!D:D,對應!E:E,"未對應")</f>
        <v>1網通+技鋼</v>
      </c>
    </row>
    <row r="1717" spans="1:8" x14ac:dyDescent="0.4">
      <c r="A1717" t="s">
        <v>7</v>
      </c>
      <c r="B1717">
        <v>2026</v>
      </c>
      <c r="C1717">
        <v>2</v>
      </c>
      <c r="D1717" t="s">
        <v>15</v>
      </c>
      <c r="E1717" t="s">
        <v>16</v>
      </c>
      <c r="F1717">
        <v>47055860</v>
      </c>
      <c r="G1717" s="3" t="s">
        <v>16</v>
      </c>
      <c r="H1717" t="str">
        <f>_xlfn.XLOOKUP(TRIM(D1717),對應!D:D,對應!E:E,"未對應")</f>
        <v>7製造</v>
      </c>
    </row>
    <row r="1718" spans="1:8" x14ac:dyDescent="0.4">
      <c r="A1718" t="s">
        <v>23</v>
      </c>
      <c r="B1718">
        <v>2026</v>
      </c>
      <c r="C1718">
        <v>2</v>
      </c>
      <c r="D1718" t="s">
        <v>17</v>
      </c>
      <c r="E1718" t="s">
        <v>18</v>
      </c>
      <c r="F1718">
        <v>-570990</v>
      </c>
      <c r="G1718" s="3" t="s">
        <v>19</v>
      </c>
      <c r="H1718" t="str">
        <f>_xlfn.XLOOKUP(TRIM(D1718),對應!D:D,對應!E:E,"未對應")</f>
        <v>4筆電+盈嘉</v>
      </c>
    </row>
    <row r="1719" spans="1:8" x14ac:dyDescent="0.4">
      <c r="A1719" t="s">
        <v>23</v>
      </c>
      <c r="B1719">
        <v>2026</v>
      </c>
      <c r="C1719">
        <v>2</v>
      </c>
      <c r="D1719" t="s">
        <v>10</v>
      </c>
      <c r="E1719" t="s">
        <v>16</v>
      </c>
      <c r="F1719">
        <v>-91665</v>
      </c>
      <c r="G1719" s="3" t="s">
        <v>16</v>
      </c>
      <c r="H1719" t="str">
        <f>_xlfn.XLOOKUP(TRIM(D1719),對應!D:D,對應!E:E,"未對應")</f>
        <v>3通路方案</v>
      </c>
    </row>
    <row r="1720" spans="1:8" x14ac:dyDescent="0.4">
      <c r="A1720" t="s">
        <v>23</v>
      </c>
      <c r="B1720">
        <v>2026</v>
      </c>
      <c r="C1720">
        <v>2</v>
      </c>
      <c r="D1720" t="s">
        <v>10</v>
      </c>
      <c r="E1720" t="s">
        <v>26</v>
      </c>
      <c r="F1720">
        <v>-2814330</v>
      </c>
      <c r="G1720" s="3" t="s">
        <v>14</v>
      </c>
      <c r="H1720" t="str">
        <f>_xlfn.XLOOKUP(TRIM(D1720),對應!D:D,對應!E:E,"未對應")</f>
        <v>3通路方案</v>
      </c>
    </row>
    <row r="1721" spans="1:8" x14ac:dyDescent="0.4">
      <c r="A1721" t="s">
        <v>23</v>
      </c>
      <c r="B1721">
        <v>2026</v>
      </c>
      <c r="C1721">
        <v>2</v>
      </c>
      <c r="D1721" t="s">
        <v>10</v>
      </c>
      <c r="E1721" t="s">
        <v>21</v>
      </c>
      <c r="F1721">
        <v>-1571661</v>
      </c>
      <c r="G1721" s="3" t="s">
        <v>22</v>
      </c>
      <c r="H1721" t="str">
        <f>_xlfn.XLOOKUP(TRIM(D1721),對應!D:D,對應!E:E,"未對應")</f>
        <v>3通路方案</v>
      </c>
    </row>
    <row r="1722" spans="1:8" x14ac:dyDescent="0.4">
      <c r="A1722" t="s">
        <v>23</v>
      </c>
      <c r="B1722">
        <v>2026</v>
      </c>
      <c r="C1722">
        <v>2</v>
      </c>
      <c r="D1722" t="s">
        <v>10</v>
      </c>
      <c r="E1722" t="s">
        <v>24</v>
      </c>
      <c r="F1722">
        <v>-335264148</v>
      </c>
      <c r="G1722" s="3" t="s">
        <v>14</v>
      </c>
      <c r="H1722" t="str">
        <f>_xlfn.XLOOKUP(TRIM(D1722),對應!D:D,對應!E:E,"未對應")</f>
        <v>3通路方案</v>
      </c>
    </row>
    <row r="1723" spans="1:8" x14ac:dyDescent="0.4">
      <c r="A1723" t="s">
        <v>23</v>
      </c>
      <c r="B1723">
        <v>2026</v>
      </c>
      <c r="C1723">
        <v>2</v>
      </c>
      <c r="D1723" t="s">
        <v>10</v>
      </c>
      <c r="E1723" t="s">
        <v>38</v>
      </c>
      <c r="F1723">
        <v>-15468732</v>
      </c>
      <c r="G1723" s="3" t="s">
        <v>12</v>
      </c>
      <c r="H1723" t="str">
        <f>_xlfn.XLOOKUP(TRIM(D1723),對應!D:D,對應!E:E,"未對應")</f>
        <v>3通路方案</v>
      </c>
    </row>
    <row r="1724" spans="1:8" x14ac:dyDescent="0.4">
      <c r="A1724" t="s">
        <v>23</v>
      </c>
      <c r="B1724">
        <v>2026</v>
      </c>
      <c r="C1724">
        <v>2</v>
      </c>
      <c r="D1724" t="s">
        <v>10</v>
      </c>
      <c r="E1724" t="s">
        <v>26</v>
      </c>
      <c r="F1724">
        <v>-11163991</v>
      </c>
      <c r="G1724" s="3" t="s">
        <v>14</v>
      </c>
      <c r="H1724" t="str">
        <f>_xlfn.XLOOKUP(TRIM(D1724),對應!D:D,對應!E:E,"未對應")</f>
        <v>3通路方案</v>
      </c>
    </row>
    <row r="1725" spans="1:8" x14ac:dyDescent="0.4">
      <c r="A1725" t="s">
        <v>23</v>
      </c>
      <c r="B1725">
        <v>2026</v>
      </c>
      <c r="C1725">
        <v>2</v>
      </c>
      <c r="D1725" t="s">
        <v>10</v>
      </c>
      <c r="E1725" t="s">
        <v>21</v>
      </c>
      <c r="F1725">
        <v>-1106918049</v>
      </c>
      <c r="G1725" s="3" t="s">
        <v>22</v>
      </c>
      <c r="H1725" t="str">
        <f>_xlfn.XLOOKUP(TRIM(D1725),對應!D:D,對應!E:E,"未對應")</f>
        <v>3通路方案</v>
      </c>
    </row>
    <row r="1726" spans="1:8" x14ac:dyDescent="0.4">
      <c r="A1726" t="s">
        <v>23</v>
      </c>
      <c r="B1726">
        <v>2026</v>
      </c>
      <c r="C1726">
        <v>2</v>
      </c>
      <c r="D1726" t="s">
        <v>15</v>
      </c>
      <c r="E1726" t="s">
        <v>16</v>
      </c>
      <c r="F1726">
        <v>-9870840</v>
      </c>
      <c r="G1726" s="3" t="s">
        <v>16</v>
      </c>
      <c r="H1726" t="str">
        <f>_xlfn.XLOOKUP(TRIM(D1726),對應!D:D,對應!E:E,"未對應")</f>
        <v>7製造</v>
      </c>
    </row>
    <row r="1727" spans="1:8" x14ac:dyDescent="0.4">
      <c r="A1727" t="s">
        <v>23</v>
      </c>
      <c r="B1727">
        <v>2026</v>
      </c>
      <c r="C1727">
        <v>2</v>
      </c>
      <c r="D1727" t="s">
        <v>15</v>
      </c>
      <c r="E1727" t="s">
        <v>16</v>
      </c>
      <c r="F1727">
        <v>-1920875</v>
      </c>
      <c r="G1727" s="3" t="s">
        <v>16</v>
      </c>
      <c r="H1727" t="str">
        <f>_xlfn.XLOOKUP(TRIM(D1727),對應!D:D,對應!E:E,"未對應")</f>
        <v>7製造</v>
      </c>
    </row>
    <row r="1728" spans="1:8" x14ac:dyDescent="0.4">
      <c r="A1728" t="s">
        <v>23</v>
      </c>
      <c r="B1728">
        <v>2026</v>
      </c>
      <c r="C1728">
        <v>2</v>
      </c>
      <c r="D1728" t="s">
        <v>10</v>
      </c>
      <c r="E1728" t="s">
        <v>16</v>
      </c>
      <c r="F1728">
        <v>-2129</v>
      </c>
      <c r="G1728" s="3" t="s">
        <v>16</v>
      </c>
      <c r="H1728" t="str">
        <f>_xlfn.XLOOKUP(TRIM(D1728),對應!D:D,對應!E:E,"未對應")</f>
        <v>3通路方案</v>
      </c>
    </row>
    <row r="1729" spans="1:8" x14ac:dyDescent="0.4">
      <c r="A1729" t="s">
        <v>23</v>
      </c>
      <c r="B1729">
        <v>2026</v>
      </c>
      <c r="C1729">
        <v>2</v>
      </c>
      <c r="D1729" t="s">
        <v>15</v>
      </c>
      <c r="E1729" t="s">
        <v>16</v>
      </c>
      <c r="F1729">
        <v>-56882516</v>
      </c>
      <c r="G1729" s="3" t="s">
        <v>16</v>
      </c>
      <c r="H1729" t="str">
        <f>_xlfn.XLOOKUP(TRIM(D1729),對應!D:D,對應!E:E,"未對應")</f>
        <v>7製造</v>
      </c>
    </row>
    <row r="1730" spans="1:8" x14ac:dyDescent="0.4">
      <c r="A1730" t="s">
        <v>23</v>
      </c>
      <c r="B1730">
        <v>2026</v>
      </c>
      <c r="C1730">
        <v>2</v>
      </c>
      <c r="D1730" t="s">
        <v>17</v>
      </c>
      <c r="E1730" t="s">
        <v>18</v>
      </c>
      <c r="F1730">
        <v>-50713323</v>
      </c>
      <c r="G1730" s="3" t="s">
        <v>19</v>
      </c>
      <c r="H1730" t="str">
        <f>_xlfn.XLOOKUP(TRIM(D1730),對應!D:D,對應!E:E,"未對應")</f>
        <v>4筆電+盈嘉</v>
      </c>
    </row>
    <row r="1731" spans="1:8" x14ac:dyDescent="0.4">
      <c r="A1731" t="s">
        <v>23</v>
      </c>
      <c r="B1731">
        <v>2026</v>
      </c>
      <c r="C1731">
        <v>2</v>
      </c>
      <c r="D1731" t="s">
        <v>10</v>
      </c>
      <c r="E1731" t="s">
        <v>24</v>
      </c>
      <c r="F1731">
        <v>-149577349</v>
      </c>
      <c r="G1731" s="3" t="s">
        <v>14</v>
      </c>
      <c r="H1731" t="str">
        <f>_xlfn.XLOOKUP(TRIM(D1731),對應!D:D,對應!E:E,"未對應")</f>
        <v>3通路方案</v>
      </c>
    </row>
    <row r="1732" spans="1:8" x14ac:dyDescent="0.4">
      <c r="A1732" t="s">
        <v>23</v>
      </c>
      <c r="B1732">
        <v>2026</v>
      </c>
      <c r="C1732">
        <v>2</v>
      </c>
      <c r="D1732" t="s">
        <v>10</v>
      </c>
      <c r="E1732" t="s">
        <v>29</v>
      </c>
      <c r="F1732">
        <v>-9102221</v>
      </c>
      <c r="G1732" s="3" t="s">
        <v>12</v>
      </c>
      <c r="H1732" t="str">
        <f>_xlfn.XLOOKUP(TRIM(D1732),對應!D:D,對應!E:E,"未對應")</f>
        <v>3通路方案</v>
      </c>
    </row>
    <row r="1733" spans="1:8" x14ac:dyDescent="0.4">
      <c r="A1733" t="s">
        <v>23</v>
      </c>
      <c r="B1733">
        <v>2026</v>
      </c>
      <c r="C1733">
        <v>2</v>
      </c>
      <c r="D1733" t="s">
        <v>10</v>
      </c>
      <c r="E1733" t="s">
        <v>30</v>
      </c>
      <c r="F1733">
        <v>-989247</v>
      </c>
      <c r="G1733" s="3" t="s">
        <v>12</v>
      </c>
      <c r="H1733" t="str">
        <f>_xlfn.XLOOKUP(TRIM(D1733),對應!D:D,對應!E:E,"未對應")</f>
        <v>3通路方案</v>
      </c>
    </row>
    <row r="1734" spans="1:8" x14ac:dyDescent="0.4">
      <c r="A1734" t="s">
        <v>23</v>
      </c>
      <c r="B1734">
        <v>2026</v>
      </c>
      <c r="C1734">
        <v>2</v>
      </c>
      <c r="D1734" t="s">
        <v>10</v>
      </c>
      <c r="E1734" t="s">
        <v>20</v>
      </c>
      <c r="F1734">
        <v>-1123402</v>
      </c>
      <c r="G1734" s="3" t="s">
        <v>12</v>
      </c>
      <c r="H1734" t="str">
        <f>_xlfn.XLOOKUP(TRIM(D1734),對應!D:D,對應!E:E,"未對應")</f>
        <v>3通路方案</v>
      </c>
    </row>
    <row r="1735" spans="1:8" x14ac:dyDescent="0.4">
      <c r="A1735" t="s">
        <v>23</v>
      </c>
      <c r="B1735">
        <v>2026</v>
      </c>
      <c r="C1735">
        <v>2</v>
      </c>
      <c r="D1735" t="s">
        <v>10</v>
      </c>
      <c r="E1735" t="s">
        <v>27</v>
      </c>
      <c r="F1735">
        <v>-42696651</v>
      </c>
      <c r="G1735" s="3" t="s">
        <v>28</v>
      </c>
      <c r="H1735" t="str">
        <f>_xlfn.XLOOKUP(TRIM(D1735),對應!D:D,對應!E:E,"未對應")</f>
        <v>3通路方案</v>
      </c>
    </row>
    <row r="1736" spans="1:8" x14ac:dyDescent="0.4">
      <c r="A1736" t="s">
        <v>23</v>
      </c>
      <c r="B1736">
        <v>2026</v>
      </c>
      <c r="C1736">
        <v>2</v>
      </c>
      <c r="D1736" t="s">
        <v>10</v>
      </c>
      <c r="E1736" t="s">
        <v>11</v>
      </c>
      <c r="F1736">
        <v>-12771005</v>
      </c>
      <c r="G1736" s="3" t="s">
        <v>12</v>
      </c>
      <c r="H1736" t="str">
        <f>_xlfn.XLOOKUP(TRIM(D1736),對應!D:D,對應!E:E,"未對應")</f>
        <v>3通路方案</v>
      </c>
    </row>
    <row r="1737" spans="1:8" x14ac:dyDescent="0.4">
      <c r="A1737" t="s">
        <v>23</v>
      </c>
      <c r="B1737">
        <v>2026</v>
      </c>
      <c r="C1737">
        <v>2</v>
      </c>
      <c r="D1737" t="s">
        <v>10</v>
      </c>
      <c r="E1737" t="s">
        <v>26</v>
      </c>
      <c r="F1737">
        <v>-862445</v>
      </c>
      <c r="G1737" s="3" t="s">
        <v>14</v>
      </c>
      <c r="H1737" t="str">
        <f>_xlfn.XLOOKUP(TRIM(D1737),對應!D:D,對應!E:E,"未對應")</f>
        <v>3通路方案</v>
      </c>
    </row>
    <row r="1738" spans="1:8" x14ac:dyDescent="0.4">
      <c r="A1738" t="s">
        <v>23</v>
      </c>
      <c r="B1738">
        <v>2026</v>
      </c>
      <c r="C1738">
        <v>2</v>
      </c>
      <c r="D1738" t="s">
        <v>10</v>
      </c>
      <c r="E1738" t="s">
        <v>21</v>
      </c>
      <c r="F1738">
        <v>-1313802392</v>
      </c>
      <c r="G1738" s="3" t="s">
        <v>22</v>
      </c>
      <c r="H1738" t="str">
        <f>_xlfn.XLOOKUP(TRIM(D1738),對應!D:D,對應!E:E,"未對應")</f>
        <v>3通路方案</v>
      </c>
    </row>
    <row r="1739" spans="1:8" x14ac:dyDescent="0.4">
      <c r="A1739" t="s">
        <v>23</v>
      </c>
      <c r="B1739">
        <v>2026</v>
      </c>
      <c r="C1739">
        <v>2</v>
      </c>
      <c r="D1739" t="s">
        <v>10</v>
      </c>
      <c r="E1739" t="s">
        <v>26</v>
      </c>
      <c r="F1739">
        <v>-4434709</v>
      </c>
      <c r="G1739" s="3" t="s">
        <v>14</v>
      </c>
      <c r="H1739" t="str">
        <f>_xlfn.XLOOKUP(TRIM(D1739),對應!D:D,對應!E:E,"未對應")</f>
        <v>3通路方案</v>
      </c>
    </row>
    <row r="1740" spans="1:8" x14ac:dyDescent="0.4">
      <c r="A1740" t="s">
        <v>23</v>
      </c>
      <c r="B1740">
        <v>2026</v>
      </c>
      <c r="C1740">
        <v>2</v>
      </c>
      <c r="D1740" t="s">
        <v>15</v>
      </c>
      <c r="E1740" t="s">
        <v>16</v>
      </c>
      <c r="F1740">
        <v>-2141536</v>
      </c>
      <c r="G1740" s="3" t="s">
        <v>16</v>
      </c>
      <c r="H1740" t="str">
        <f>_xlfn.XLOOKUP(TRIM(D1740),對應!D:D,對應!E:E,"未對應")</f>
        <v>7製造</v>
      </c>
    </row>
    <row r="1741" spans="1:8" x14ac:dyDescent="0.4">
      <c r="A1741" t="s">
        <v>23</v>
      </c>
      <c r="B1741">
        <v>2026</v>
      </c>
      <c r="C1741">
        <v>2</v>
      </c>
      <c r="D1741" t="s">
        <v>10</v>
      </c>
      <c r="E1741" t="s">
        <v>29</v>
      </c>
      <c r="F1741">
        <v>-876072</v>
      </c>
      <c r="G1741" s="3" t="s">
        <v>12</v>
      </c>
      <c r="H1741" t="str">
        <f>_xlfn.XLOOKUP(TRIM(D1741),對應!D:D,對應!E:E,"未對應")</f>
        <v>3通路方案</v>
      </c>
    </row>
    <row r="1742" spans="1:8" x14ac:dyDescent="0.4">
      <c r="A1742" t="s">
        <v>23</v>
      </c>
      <c r="B1742">
        <v>2026</v>
      </c>
      <c r="C1742">
        <v>2</v>
      </c>
      <c r="D1742" t="s">
        <v>10</v>
      </c>
      <c r="E1742" t="s">
        <v>16</v>
      </c>
      <c r="F1742">
        <v>-2220559</v>
      </c>
      <c r="G1742" s="3" t="s">
        <v>16</v>
      </c>
      <c r="H1742" t="str">
        <f>_xlfn.XLOOKUP(TRIM(D1742),對應!D:D,對應!E:E,"未對應")</f>
        <v>3通路方案</v>
      </c>
    </row>
    <row r="1743" spans="1:8" x14ac:dyDescent="0.4">
      <c r="A1743" t="s">
        <v>44</v>
      </c>
      <c r="B1743">
        <v>2026</v>
      </c>
      <c r="C1743">
        <v>2</v>
      </c>
      <c r="D1743" t="s">
        <v>32</v>
      </c>
      <c r="F1743">
        <v>358988</v>
      </c>
      <c r="G1743" s="3" t="s">
        <v>32</v>
      </c>
      <c r="H1743" t="str">
        <f>_xlfn.XLOOKUP(TRIM(D1743),對應!D:D,對應!E:E,"未對應")</f>
        <v>5百事益</v>
      </c>
    </row>
    <row r="1744" spans="1:8" x14ac:dyDescent="0.4">
      <c r="A1744" t="s">
        <v>44</v>
      </c>
      <c r="B1744">
        <v>2026</v>
      </c>
      <c r="C1744">
        <v>2</v>
      </c>
      <c r="D1744" t="s">
        <v>32</v>
      </c>
      <c r="F1744">
        <v>16046339</v>
      </c>
      <c r="G1744" s="3" t="s">
        <v>32</v>
      </c>
      <c r="H1744" t="str">
        <f>_xlfn.XLOOKUP(TRIM(D1744),對應!D:D,對應!E:E,"未對應")</f>
        <v>5百事益</v>
      </c>
    </row>
    <row r="1745" spans="1:8" x14ac:dyDescent="0.4">
      <c r="A1745" t="s">
        <v>31</v>
      </c>
      <c r="B1745">
        <v>2026</v>
      </c>
      <c r="C1745">
        <v>2</v>
      </c>
      <c r="D1745" t="s">
        <v>32</v>
      </c>
      <c r="E1745" t="s">
        <v>16</v>
      </c>
      <c r="F1745">
        <v>-1971941</v>
      </c>
      <c r="G1745" s="3" t="s">
        <v>32</v>
      </c>
      <c r="H1745" t="str">
        <f>_xlfn.XLOOKUP(TRIM(D1745),對應!D:D,對應!E:E,"未對應")</f>
        <v>5百事益</v>
      </c>
    </row>
    <row r="1746" spans="1:8" x14ac:dyDescent="0.4">
      <c r="A1746" t="s">
        <v>31</v>
      </c>
      <c r="B1746">
        <v>2026</v>
      </c>
      <c r="C1746">
        <v>2</v>
      </c>
      <c r="D1746" t="s">
        <v>32</v>
      </c>
      <c r="E1746" t="s">
        <v>16</v>
      </c>
      <c r="F1746">
        <v>-490755</v>
      </c>
      <c r="G1746" s="3" t="s">
        <v>32</v>
      </c>
      <c r="H1746" t="str">
        <f>_xlfn.XLOOKUP(TRIM(D1746),對應!D:D,對應!E:E,"未對應")</f>
        <v>5百事益</v>
      </c>
    </row>
    <row r="1747" spans="1:8" x14ac:dyDescent="0.4">
      <c r="A1747" t="s">
        <v>31</v>
      </c>
      <c r="B1747">
        <v>2026</v>
      </c>
      <c r="C1747">
        <v>2</v>
      </c>
      <c r="D1747" t="s">
        <v>10</v>
      </c>
      <c r="E1747" t="s">
        <v>24</v>
      </c>
      <c r="F1747">
        <v>-137707</v>
      </c>
      <c r="G1747" s="3" t="s">
        <v>14</v>
      </c>
      <c r="H1747" t="str">
        <f>_xlfn.XLOOKUP(TRIM(D1747),對應!D:D,對應!E:E,"未對應")</f>
        <v>3通路方案</v>
      </c>
    </row>
    <row r="1748" spans="1:8" x14ac:dyDescent="0.4">
      <c r="A1748" t="s">
        <v>31</v>
      </c>
      <c r="B1748">
        <v>2026</v>
      </c>
      <c r="C1748">
        <v>2</v>
      </c>
      <c r="D1748" t="s">
        <v>10</v>
      </c>
      <c r="E1748" t="s">
        <v>25</v>
      </c>
      <c r="F1748">
        <v>-5088</v>
      </c>
      <c r="G1748" s="3" t="s">
        <v>14</v>
      </c>
      <c r="H1748" t="str">
        <f>_xlfn.XLOOKUP(TRIM(D1748),對應!D:D,對應!E:E,"未對應")</f>
        <v>3通路方案</v>
      </c>
    </row>
    <row r="1749" spans="1:8" x14ac:dyDescent="0.4">
      <c r="A1749" t="s">
        <v>31</v>
      </c>
      <c r="B1749">
        <v>2026</v>
      </c>
      <c r="C1749">
        <v>2</v>
      </c>
      <c r="D1749" t="s">
        <v>10</v>
      </c>
      <c r="E1749" t="s">
        <v>21</v>
      </c>
      <c r="F1749">
        <v>-2044025</v>
      </c>
      <c r="G1749" s="3" t="s">
        <v>22</v>
      </c>
      <c r="H1749" t="str">
        <f>_xlfn.XLOOKUP(TRIM(D1749),對應!D:D,對應!E:E,"未對應")</f>
        <v>3通路方案</v>
      </c>
    </row>
    <row r="1750" spans="1:8" x14ac:dyDescent="0.4">
      <c r="A1750" t="s">
        <v>23</v>
      </c>
      <c r="B1750">
        <v>2026</v>
      </c>
      <c r="C1750">
        <v>1</v>
      </c>
      <c r="D1750" t="s">
        <v>15</v>
      </c>
      <c r="E1750" t="s">
        <v>16</v>
      </c>
      <c r="F1750">
        <v>-57770961</v>
      </c>
      <c r="G1750" s="3" t="s">
        <v>16</v>
      </c>
      <c r="H1750" t="str">
        <f>_xlfn.XLOOKUP(TRIM(D1750),對應!D:D,對應!E:E,"未對應")</f>
        <v>7製造</v>
      </c>
    </row>
    <row r="1751" spans="1:8" x14ac:dyDescent="0.4">
      <c r="A1751" t="s">
        <v>23</v>
      </c>
      <c r="B1751">
        <v>2026</v>
      </c>
      <c r="C1751">
        <v>1</v>
      </c>
      <c r="D1751" t="s">
        <v>17</v>
      </c>
      <c r="E1751" t="s">
        <v>18</v>
      </c>
      <c r="F1751">
        <v>-28073031</v>
      </c>
      <c r="G1751" s="3" t="s">
        <v>19</v>
      </c>
      <c r="H1751" t="str">
        <f>_xlfn.XLOOKUP(TRIM(D1751),對應!D:D,對應!E:E,"未對應")</f>
        <v>4筆電+盈嘉</v>
      </c>
    </row>
    <row r="1752" spans="1:8" x14ac:dyDescent="0.4">
      <c r="A1752" t="s">
        <v>23</v>
      </c>
      <c r="B1752">
        <v>2026</v>
      </c>
      <c r="C1752">
        <v>1</v>
      </c>
      <c r="D1752" t="s">
        <v>10</v>
      </c>
      <c r="E1752" t="s">
        <v>24</v>
      </c>
      <c r="F1752">
        <v>-316408148</v>
      </c>
      <c r="G1752" s="3" t="s">
        <v>14</v>
      </c>
      <c r="H1752" t="str">
        <f>_xlfn.XLOOKUP(TRIM(D1752),對應!D:D,對應!E:E,"未對應")</f>
        <v>3通路方案</v>
      </c>
    </row>
    <row r="1753" spans="1:8" x14ac:dyDescent="0.4">
      <c r="A1753" t="s">
        <v>23</v>
      </c>
      <c r="B1753">
        <v>2026</v>
      </c>
      <c r="C1753">
        <v>1</v>
      </c>
      <c r="D1753" t="s">
        <v>10</v>
      </c>
      <c r="E1753" t="s">
        <v>30</v>
      </c>
      <c r="F1753">
        <v>-617296</v>
      </c>
      <c r="G1753" s="3" t="s">
        <v>12</v>
      </c>
      <c r="H1753" t="str">
        <f>_xlfn.XLOOKUP(TRIM(D1753),對應!D:D,對應!E:E,"未對應")</f>
        <v>3通路方案</v>
      </c>
    </row>
    <row r="1754" spans="1:8" x14ac:dyDescent="0.4">
      <c r="A1754" t="s">
        <v>23</v>
      </c>
      <c r="B1754">
        <v>2026</v>
      </c>
      <c r="C1754">
        <v>1</v>
      </c>
      <c r="D1754" t="s">
        <v>10</v>
      </c>
      <c r="E1754" t="s">
        <v>27</v>
      </c>
      <c r="F1754">
        <v>-59179587</v>
      </c>
      <c r="G1754" s="3" t="s">
        <v>28</v>
      </c>
      <c r="H1754" t="str">
        <f>_xlfn.XLOOKUP(TRIM(D1754),對應!D:D,對應!E:E,"未對應")</f>
        <v>3通路方案</v>
      </c>
    </row>
    <row r="1755" spans="1:8" x14ac:dyDescent="0.4">
      <c r="A1755" t="s">
        <v>23</v>
      </c>
      <c r="B1755">
        <v>2026</v>
      </c>
      <c r="C1755">
        <v>1</v>
      </c>
      <c r="D1755" t="s">
        <v>10</v>
      </c>
      <c r="E1755" t="s">
        <v>11</v>
      </c>
      <c r="F1755">
        <v>-2818303</v>
      </c>
      <c r="G1755" s="3" t="s">
        <v>12</v>
      </c>
      <c r="H1755" t="str">
        <f>_xlfn.XLOOKUP(TRIM(D1755),對應!D:D,對應!E:E,"未對應")</f>
        <v>3通路方案</v>
      </c>
    </row>
    <row r="1756" spans="1:8" x14ac:dyDescent="0.4">
      <c r="A1756" t="s">
        <v>23</v>
      </c>
      <c r="B1756">
        <v>2026</v>
      </c>
      <c r="C1756">
        <v>1</v>
      </c>
      <c r="D1756" t="s">
        <v>10</v>
      </c>
      <c r="E1756" t="s">
        <v>26</v>
      </c>
      <c r="F1756">
        <v>-170355</v>
      </c>
      <c r="G1756" s="3" t="s">
        <v>14</v>
      </c>
      <c r="H1756" t="str">
        <f>_xlfn.XLOOKUP(TRIM(D1756),對應!D:D,對應!E:E,"未對應")</f>
        <v>3通路方案</v>
      </c>
    </row>
    <row r="1757" spans="1:8" x14ac:dyDescent="0.4">
      <c r="A1757" t="s">
        <v>23</v>
      </c>
      <c r="B1757">
        <v>2026</v>
      </c>
      <c r="C1757">
        <v>1</v>
      </c>
      <c r="D1757" t="s">
        <v>10</v>
      </c>
      <c r="E1757" t="s">
        <v>21</v>
      </c>
      <c r="F1757">
        <v>-1475346429</v>
      </c>
      <c r="G1757" s="3" t="s">
        <v>22</v>
      </c>
      <c r="H1757" t="str">
        <f>_xlfn.XLOOKUP(TRIM(D1757),對應!D:D,對應!E:E,"未對應")</f>
        <v>3通路方案</v>
      </c>
    </row>
    <row r="1758" spans="1:8" x14ac:dyDescent="0.4">
      <c r="A1758" t="s">
        <v>23</v>
      </c>
      <c r="B1758">
        <v>2026</v>
      </c>
      <c r="C1758">
        <v>1</v>
      </c>
      <c r="D1758" t="s">
        <v>15</v>
      </c>
      <c r="E1758" t="s">
        <v>16</v>
      </c>
      <c r="F1758">
        <v>-295912</v>
      </c>
      <c r="G1758" s="3" t="s">
        <v>16</v>
      </c>
      <c r="H1758" t="str">
        <f>_xlfn.XLOOKUP(TRIM(D1758),對應!D:D,對應!E:E,"未對應")</f>
        <v>7製造</v>
      </c>
    </row>
    <row r="1759" spans="1:8" x14ac:dyDescent="0.4">
      <c r="A1759" t="s">
        <v>23</v>
      </c>
      <c r="B1759">
        <v>2026</v>
      </c>
      <c r="C1759">
        <v>1</v>
      </c>
      <c r="D1759" t="s">
        <v>10</v>
      </c>
      <c r="E1759" t="s">
        <v>16</v>
      </c>
      <c r="F1759">
        <v>-3685700</v>
      </c>
      <c r="G1759" s="3" t="s">
        <v>16</v>
      </c>
      <c r="H1759" t="str">
        <f>_xlfn.XLOOKUP(TRIM(D1759),對應!D:D,對應!E:E,"未對應")</f>
        <v>3通路方案</v>
      </c>
    </row>
    <row r="1760" spans="1:8" x14ac:dyDescent="0.4">
      <c r="A1760" t="s">
        <v>44</v>
      </c>
      <c r="B1760">
        <v>2026</v>
      </c>
      <c r="C1760">
        <v>1</v>
      </c>
      <c r="D1760" t="s">
        <v>32</v>
      </c>
      <c r="F1760">
        <v>93082</v>
      </c>
      <c r="G1760" s="3" t="s">
        <v>32</v>
      </c>
      <c r="H1760" t="str">
        <f>_xlfn.XLOOKUP(TRIM(D1760),對應!D:D,對應!E:E,"未對應")</f>
        <v>5百事益</v>
      </c>
    </row>
    <row r="1761" spans="1:8" x14ac:dyDescent="0.4">
      <c r="A1761" t="s">
        <v>44</v>
      </c>
      <c r="B1761">
        <v>2026</v>
      </c>
      <c r="C1761">
        <v>1</v>
      </c>
      <c r="D1761" t="s">
        <v>32</v>
      </c>
      <c r="F1761">
        <v>2370410</v>
      </c>
      <c r="G1761" s="3" t="s">
        <v>32</v>
      </c>
      <c r="H1761" t="str">
        <f>_xlfn.XLOOKUP(TRIM(D1761),對應!D:D,對應!E:E,"未對應")</f>
        <v>5百事益</v>
      </c>
    </row>
    <row r="1762" spans="1:8" x14ac:dyDescent="0.4">
      <c r="A1762" t="s">
        <v>44</v>
      </c>
      <c r="B1762">
        <v>2026</v>
      </c>
      <c r="C1762">
        <v>1</v>
      </c>
      <c r="D1762" t="s">
        <v>32</v>
      </c>
      <c r="F1762">
        <v>24785362</v>
      </c>
      <c r="G1762" s="3" t="s">
        <v>32</v>
      </c>
      <c r="H1762" t="str">
        <f>_xlfn.XLOOKUP(TRIM(D1762),對應!D:D,對應!E:E,"未對應")</f>
        <v>5百事益</v>
      </c>
    </row>
    <row r="1763" spans="1:8" x14ac:dyDescent="0.4">
      <c r="A1763" t="s">
        <v>31</v>
      </c>
      <c r="B1763">
        <v>2026</v>
      </c>
      <c r="C1763">
        <v>1</v>
      </c>
      <c r="D1763" t="s">
        <v>32</v>
      </c>
      <c r="E1763" t="s">
        <v>16</v>
      </c>
      <c r="F1763">
        <v>-1865645</v>
      </c>
      <c r="G1763" s="3" t="s">
        <v>32</v>
      </c>
      <c r="H1763" t="str">
        <f>_xlfn.XLOOKUP(TRIM(D1763),對應!D:D,對應!E:E,"未對應")</f>
        <v>5百事益</v>
      </c>
    </row>
    <row r="1764" spans="1:8" x14ac:dyDescent="0.4">
      <c r="A1764" t="s">
        <v>31</v>
      </c>
      <c r="B1764">
        <v>2026</v>
      </c>
      <c r="C1764">
        <v>1</v>
      </c>
      <c r="D1764" t="s">
        <v>10</v>
      </c>
      <c r="E1764" t="s">
        <v>21</v>
      </c>
      <c r="F1764">
        <v>-16963</v>
      </c>
      <c r="G1764" s="3" t="s">
        <v>22</v>
      </c>
      <c r="H1764" t="str">
        <f>_xlfn.XLOOKUP(TRIM(D1764),對應!D:D,對應!E:E,"未對應")</f>
        <v>3通路方案</v>
      </c>
    </row>
    <row r="1765" spans="1:8" x14ac:dyDescent="0.4">
      <c r="A1765" t="s">
        <v>31</v>
      </c>
      <c r="B1765">
        <v>2026</v>
      </c>
      <c r="C1765">
        <v>1</v>
      </c>
      <c r="D1765" t="s">
        <v>32</v>
      </c>
      <c r="E1765" t="s">
        <v>16</v>
      </c>
      <c r="F1765">
        <v>-655963</v>
      </c>
      <c r="G1765" s="3" t="s">
        <v>32</v>
      </c>
      <c r="H1765" t="str">
        <f>_xlfn.XLOOKUP(TRIM(D1765),對應!D:D,對應!E:E,"未對應")</f>
        <v>5百事益</v>
      </c>
    </row>
    <row r="1766" spans="1:8" x14ac:dyDescent="0.4">
      <c r="A1766" t="s">
        <v>31</v>
      </c>
      <c r="B1766">
        <v>2026</v>
      </c>
      <c r="C1766">
        <v>1</v>
      </c>
      <c r="D1766" t="s">
        <v>10</v>
      </c>
      <c r="E1766" t="s">
        <v>24</v>
      </c>
      <c r="F1766">
        <v>-931502</v>
      </c>
      <c r="G1766" s="3" t="s">
        <v>14</v>
      </c>
      <c r="H1766" t="str">
        <f>_xlfn.XLOOKUP(TRIM(D1766),對應!D:D,對應!E:E,"未對應")</f>
        <v>3通路方案</v>
      </c>
    </row>
    <row r="1767" spans="1:8" x14ac:dyDescent="0.4">
      <c r="A1767" t="s">
        <v>31</v>
      </c>
      <c r="B1767">
        <v>2026</v>
      </c>
      <c r="C1767">
        <v>1</v>
      </c>
      <c r="D1767" t="s">
        <v>10</v>
      </c>
      <c r="E1767" t="s">
        <v>25</v>
      </c>
      <c r="F1767">
        <v>-1223</v>
      </c>
      <c r="G1767" s="3" t="s">
        <v>14</v>
      </c>
      <c r="H1767" t="str">
        <f>_xlfn.XLOOKUP(TRIM(D1767),對應!D:D,對應!E:E,"未對應")</f>
        <v>3通路方案</v>
      </c>
    </row>
    <row r="1768" spans="1:8" x14ac:dyDescent="0.4">
      <c r="A1768" t="s">
        <v>31</v>
      </c>
      <c r="B1768">
        <v>2026</v>
      </c>
      <c r="C1768">
        <v>1</v>
      </c>
      <c r="D1768" t="s">
        <v>10</v>
      </c>
      <c r="E1768" t="s">
        <v>21</v>
      </c>
      <c r="F1768">
        <v>-5388688</v>
      </c>
      <c r="G1768" s="3" t="s">
        <v>22</v>
      </c>
      <c r="H1768" t="str">
        <f>_xlfn.XLOOKUP(TRIM(D1768),對應!D:D,對應!E:E,"未對應")</f>
        <v>3通路方案</v>
      </c>
    </row>
    <row r="1769" spans="1:8" x14ac:dyDescent="0.4">
      <c r="A1769" t="s">
        <v>31</v>
      </c>
      <c r="B1769">
        <v>2026</v>
      </c>
      <c r="C1769">
        <v>1</v>
      </c>
      <c r="D1769" t="s">
        <v>10</v>
      </c>
      <c r="E1769" t="s">
        <v>16</v>
      </c>
      <c r="F1769">
        <v>-868143</v>
      </c>
      <c r="G1769" s="3" t="s">
        <v>16</v>
      </c>
      <c r="H1769" t="str">
        <f>_xlfn.XLOOKUP(TRIM(D1769),對應!D:D,對應!E:E,"未對應")</f>
        <v>3通路方案</v>
      </c>
    </row>
    <row r="1770" spans="1:8" x14ac:dyDescent="0.4">
      <c r="A1770" t="s">
        <v>31</v>
      </c>
      <c r="B1770">
        <v>2026</v>
      </c>
      <c r="C1770">
        <v>1</v>
      </c>
      <c r="D1770" t="s">
        <v>10</v>
      </c>
      <c r="E1770" t="s">
        <v>16</v>
      </c>
      <c r="F1770">
        <v>-23129276</v>
      </c>
      <c r="G1770" s="3" t="s">
        <v>16</v>
      </c>
      <c r="H1770" t="str">
        <f>_xlfn.XLOOKUP(TRIM(D1770),對應!D:D,對應!E:E,"未對應")</f>
        <v>3通路方案</v>
      </c>
    </row>
    <row r="1771" spans="1:8" x14ac:dyDescent="0.4">
      <c r="A1771" t="s">
        <v>31</v>
      </c>
      <c r="B1771">
        <v>2026</v>
      </c>
      <c r="C1771">
        <v>1</v>
      </c>
      <c r="D1771" t="s">
        <v>32</v>
      </c>
      <c r="E1771" t="s">
        <v>16</v>
      </c>
      <c r="F1771">
        <v>-2290750</v>
      </c>
      <c r="G1771" s="3" t="s">
        <v>32</v>
      </c>
      <c r="H1771" t="str">
        <f>_xlfn.XLOOKUP(TRIM(D1771),對應!D:D,對應!E:E,"未對應")</f>
        <v>5百事益</v>
      </c>
    </row>
    <row r="1772" spans="1:8" x14ac:dyDescent="0.4">
      <c r="A1772" t="s">
        <v>31</v>
      </c>
      <c r="B1772">
        <v>2026</v>
      </c>
      <c r="C1772">
        <v>1</v>
      </c>
      <c r="D1772" t="s">
        <v>8</v>
      </c>
      <c r="E1772" t="s">
        <v>33</v>
      </c>
      <c r="F1772">
        <v>-36817560</v>
      </c>
      <c r="G1772" s="3" t="s">
        <v>9</v>
      </c>
      <c r="H1772" t="str">
        <f>_xlfn.XLOOKUP(TRIM(D1772),對應!D:D,對應!E:E,"未對應")</f>
        <v>1網通+技鋼</v>
      </c>
    </row>
    <row r="1773" spans="1:8" x14ac:dyDescent="0.4">
      <c r="A1773" t="s">
        <v>31</v>
      </c>
      <c r="B1773">
        <v>2026</v>
      </c>
      <c r="C1773">
        <v>1</v>
      </c>
      <c r="D1773" t="s">
        <v>32</v>
      </c>
      <c r="E1773" t="s">
        <v>16</v>
      </c>
      <c r="F1773">
        <v>-10499771</v>
      </c>
      <c r="G1773" s="3" t="s">
        <v>32</v>
      </c>
      <c r="H1773" t="str">
        <f>_xlfn.XLOOKUP(TRIM(D1773),對應!D:D,對應!E:E,"未對應")</f>
        <v>5百事益</v>
      </c>
    </row>
    <row r="1774" spans="1:8" x14ac:dyDescent="0.4">
      <c r="A1774" t="s">
        <v>31</v>
      </c>
      <c r="B1774">
        <v>2026</v>
      </c>
      <c r="C1774">
        <v>1</v>
      </c>
      <c r="D1774" t="s">
        <v>32</v>
      </c>
      <c r="E1774" t="s">
        <v>16</v>
      </c>
      <c r="F1774">
        <v>-608119</v>
      </c>
      <c r="G1774" s="3" t="s">
        <v>32</v>
      </c>
      <c r="H1774" t="str">
        <f>_xlfn.XLOOKUP(TRIM(D1774),對應!D:D,對應!E:E,"未對應")</f>
        <v>5百事益</v>
      </c>
    </row>
    <row r="1775" spans="1:8" x14ac:dyDescent="0.4">
      <c r="A1775" t="s">
        <v>31</v>
      </c>
      <c r="B1775">
        <v>2026</v>
      </c>
      <c r="C1775">
        <v>1</v>
      </c>
      <c r="D1775" t="s">
        <v>8</v>
      </c>
      <c r="E1775" t="s">
        <v>33</v>
      </c>
      <c r="F1775">
        <v>-547874</v>
      </c>
      <c r="G1775" s="3" t="s">
        <v>9</v>
      </c>
      <c r="H1775" t="str">
        <f>_xlfn.XLOOKUP(TRIM(D1775),對應!D:D,對應!E:E,"未對應")</f>
        <v>1網通+技鋼</v>
      </c>
    </row>
    <row r="1776" spans="1:8" x14ac:dyDescent="0.4">
      <c r="A1776" t="s">
        <v>31</v>
      </c>
      <c r="B1776">
        <v>2026</v>
      </c>
      <c r="C1776">
        <v>1</v>
      </c>
      <c r="D1776" t="s">
        <v>17</v>
      </c>
      <c r="E1776" t="s">
        <v>18</v>
      </c>
      <c r="F1776">
        <v>-393004</v>
      </c>
      <c r="G1776" s="3" t="s">
        <v>19</v>
      </c>
      <c r="H1776" t="str">
        <f>_xlfn.XLOOKUP(TRIM(D1776),對應!D:D,對應!E:E,"未對應")</f>
        <v>4筆電+盈嘉</v>
      </c>
    </row>
    <row r="1777" spans="1:8" x14ac:dyDescent="0.4">
      <c r="A1777" t="s">
        <v>31</v>
      </c>
      <c r="B1777">
        <v>2026</v>
      </c>
      <c r="C1777">
        <v>1</v>
      </c>
      <c r="D1777" t="s">
        <v>10</v>
      </c>
      <c r="E1777" t="s">
        <v>24</v>
      </c>
      <c r="F1777">
        <v>-840793</v>
      </c>
      <c r="G1777" s="3" t="s">
        <v>14</v>
      </c>
      <c r="H1777" t="str">
        <f>_xlfn.XLOOKUP(TRIM(D1777),對應!D:D,對應!E:E,"未對應")</f>
        <v>3通路方案</v>
      </c>
    </row>
    <row r="1778" spans="1:8" x14ac:dyDescent="0.4">
      <c r="A1778" t="s">
        <v>31</v>
      </c>
      <c r="B1778">
        <v>2026</v>
      </c>
      <c r="C1778">
        <v>1</v>
      </c>
      <c r="D1778" t="s">
        <v>10</v>
      </c>
      <c r="E1778" t="s">
        <v>30</v>
      </c>
      <c r="F1778">
        <v>-21430</v>
      </c>
      <c r="G1778" s="3" t="s">
        <v>12</v>
      </c>
      <c r="H1778" t="str">
        <f>_xlfn.XLOOKUP(TRIM(D1778),對應!D:D,對應!E:E,"未對應")</f>
        <v>3通路方案</v>
      </c>
    </row>
    <row r="1779" spans="1:8" x14ac:dyDescent="0.4">
      <c r="A1779" t="s">
        <v>31</v>
      </c>
      <c r="B1779">
        <v>2026</v>
      </c>
      <c r="C1779">
        <v>1</v>
      </c>
      <c r="D1779" t="s">
        <v>10</v>
      </c>
      <c r="E1779" t="s">
        <v>25</v>
      </c>
      <c r="F1779">
        <v>-1290</v>
      </c>
      <c r="G1779" s="3" t="s">
        <v>14</v>
      </c>
      <c r="H1779" t="str">
        <f>_xlfn.XLOOKUP(TRIM(D1779),對應!D:D,對應!E:E,"未對應")</f>
        <v>3通路方案</v>
      </c>
    </row>
    <row r="1780" spans="1:8" x14ac:dyDescent="0.4">
      <c r="A1780" t="s">
        <v>31</v>
      </c>
      <c r="B1780">
        <v>2026</v>
      </c>
      <c r="C1780">
        <v>1</v>
      </c>
      <c r="D1780" t="s">
        <v>10</v>
      </c>
      <c r="E1780" t="s">
        <v>27</v>
      </c>
      <c r="F1780">
        <v>-557487</v>
      </c>
      <c r="G1780" s="3" t="s">
        <v>28</v>
      </c>
      <c r="H1780" t="str">
        <f>_xlfn.XLOOKUP(TRIM(D1780),對應!D:D,對應!E:E,"未對應")</f>
        <v>3通路方案</v>
      </c>
    </row>
    <row r="1781" spans="1:8" x14ac:dyDescent="0.4">
      <c r="A1781" t="s">
        <v>31</v>
      </c>
      <c r="B1781">
        <v>2026</v>
      </c>
      <c r="C1781">
        <v>1</v>
      </c>
      <c r="D1781" t="s">
        <v>10</v>
      </c>
      <c r="E1781" t="s">
        <v>16</v>
      </c>
      <c r="F1781">
        <v>-68348</v>
      </c>
      <c r="G1781" s="3" t="s">
        <v>16</v>
      </c>
      <c r="H1781" t="str">
        <f>_xlfn.XLOOKUP(TRIM(D1781),對應!D:D,對應!E:E,"未對應")</f>
        <v>3通路方案</v>
      </c>
    </row>
    <row r="1782" spans="1:8" x14ac:dyDescent="0.4">
      <c r="A1782" t="s">
        <v>31</v>
      </c>
      <c r="B1782">
        <v>2026</v>
      </c>
      <c r="C1782">
        <v>1</v>
      </c>
      <c r="D1782" t="s">
        <v>10</v>
      </c>
      <c r="E1782" t="s">
        <v>11</v>
      </c>
      <c r="F1782">
        <v>-379126</v>
      </c>
      <c r="G1782" s="3" t="s">
        <v>12</v>
      </c>
      <c r="H1782" t="str">
        <f>_xlfn.XLOOKUP(TRIM(D1782),對應!D:D,對應!E:E,"未對應")</f>
        <v>3通路方案</v>
      </c>
    </row>
    <row r="1783" spans="1:8" x14ac:dyDescent="0.4">
      <c r="A1783" t="s">
        <v>31</v>
      </c>
      <c r="B1783">
        <v>2026</v>
      </c>
      <c r="C1783">
        <v>1</v>
      </c>
      <c r="D1783" t="s">
        <v>10</v>
      </c>
      <c r="E1783" t="s">
        <v>26</v>
      </c>
      <c r="F1783">
        <v>-32255</v>
      </c>
      <c r="G1783" s="3" t="s">
        <v>14</v>
      </c>
      <c r="H1783" t="str">
        <f>_xlfn.XLOOKUP(TRIM(D1783),對應!D:D,對應!E:E,"未對應")</f>
        <v>3通路方案</v>
      </c>
    </row>
    <row r="1784" spans="1:8" x14ac:dyDescent="0.4">
      <c r="A1784" t="s">
        <v>31</v>
      </c>
      <c r="B1784">
        <v>2026</v>
      </c>
      <c r="C1784">
        <v>1</v>
      </c>
      <c r="D1784" t="s">
        <v>10</v>
      </c>
      <c r="E1784" t="s">
        <v>21</v>
      </c>
      <c r="F1784">
        <v>-2112384</v>
      </c>
      <c r="G1784" s="3" t="s">
        <v>22</v>
      </c>
      <c r="H1784" t="str">
        <f>_xlfn.XLOOKUP(TRIM(D1784),對應!D:D,對應!E:E,"未對應")</f>
        <v>3通路方案</v>
      </c>
    </row>
    <row r="1785" spans="1:8" x14ac:dyDescent="0.4">
      <c r="A1785" t="s">
        <v>31</v>
      </c>
      <c r="B1785">
        <v>2026</v>
      </c>
      <c r="C1785">
        <v>1</v>
      </c>
      <c r="D1785" t="s">
        <v>10</v>
      </c>
      <c r="E1785" t="s">
        <v>16</v>
      </c>
      <c r="F1785">
        <v>-112813</v>
      </c>
      <c r="G1785" s="3" t="s">
        <v>16</v>
      </c>
      <c r="H1785" t="str">
        <f>_xlfn.XLOOKUP(TRIM(D1785),對應!D:D,對應!E:E,"未對應")</f>
        <v>3通路方案</v>
      </c>
    </row>
    <row r="1786" spans="1:8" x14ac:dyDescent="0.4">
      <c r="A1786" t="s">
        <v>31</v>
      </c>
      <c r="B1786">
        <v>2026</v>
      </c>
      <c r="C1786">
        <v>1</v>
      </c>
      <c r="D1786" t="s">
        <v>32</v>
      </c>
      <c r="E1786" t="s">
        <v>16</v>
      </c>
      <c r="F1786">
        <v>-31468</v>
      </c>
      <c r="G1786" s="3" t="s">
        <v>32</v>
      </c>
      <c r="H1786" t="str">
        <f>_xlfn.XLOOKUP(TRIM(D1786),對應!D:D,對應!E:E,"未對應")</f>
        <v>5百事益</v>
      </c>
    </row>
    <row r="1787" spans="1:8" x14ac:dyDescent="0.4">
      <c r="A1787" t="s">
        <v>31</v>
      </c>
      <c r="B1787">
        <v>2026</v>
      </c>
      <c r="C1787">
        <v>1</v>
      </c>
      <c r="D1787" t="s">
        <v>32</v>
      </c>
      <c r="E1787" t="s">
        <v>16</v>
      </c>
      <c r="F1787">
        <v>-1277915</v>
      </c>
      <c r="G1787" s="3" t="s">
        <v>32</v>
      </c>
      <c r="H1787" t="str">
        <f>_xlfn.XLOOKUP(TRIM(D1787),對應!D:D,對應!E:E,"未對應")</f>
        <v>5百事益</v>
      </c>
    </row>
    <row r="1788" spans="1:8" x14ac:dyDescent="0.4">
      <c r="A1788" t="s">
        <v>31</v>
      </c>
      <c r="B1788">
        <v>2026</v>
      </c>
      <c r="C1788">
        <v>1</v>
      </c>
      <c r="D1788" t="s">
        <v>8</v>
      </c>
      <c r="E1788" t="s">
        <v>33</v>
      </c>
      <c r="F1788">
        <v>-3996</v>
      </c>
      <c r="G1788" s="3" t="s">
        <v>9</v>
      </c>
      <c r="H1788" t="str">
        <f>_xlfn.XLOOKUP(TRIM(D1788),對應!D:D,對應!E:E,"未對應")</f>
        <v>1網通+技鋼</v>
      </c>
    </row>
    <row r="1789" spans="1:8" x14ac:dyDescent="0.4">
      <c r="A1789" t="s">
        <v>31</v>
      </c>
      <c r="B1789">
        <v>2026</v>
      </c>
      <c r="C1789">
        <v>1</v>
      </c>
      <c r="D1789" t="s">
        <v>8</v>
      </c>
      <c r="E1789" t="s">
        <v>33</v>
      </c>
      <c r="F1789">
        <v>-2447329</v>
      </c>
      <c r="G1789" s="3" t="s">
        <v>9</v>
      </c>
      <c r="H1789" t="str">
        <f>_xlfn.XLOOKUP(TRIM(D1789),對應!D:D,對應!E:E,"未對應")</f>
        <v>1網通+技鋼</v>
      </c>
    </row>
    <row r="1790" spans="1:8" x14ac:dyDescent="0.4">
      <c r="A1790" t="s">
        <v>31</v>
      </c>
      <c r="B1790">
        <v>2026</v>
      </c>
      <c r="C1790">
        <v>1</v>
      </c>
      <c r="D1790" t="s">
        <v>32</v>
      </c>
      <c r="E1790" t="s">
        <v>16</v>
      </c>
      <c r="F1790">
        <v>-60550</v>
      </c>
      <c r="G1790" s="3" t="s">
        <v>32</v>
      </c>
      <c r="H1790" t="str">
        <f>_xlfn.XLOOKUP(TRIM(D1790),對應!D:D,對應!E:E,"未對應")</f>
        <v>5百事益</v>
      </c>
    </row>
    <row r="1791" spans="1:8" x14ac:dyDescent="0.4">
      <c r="A1791" t="s">
        <v>31</v>
      </c>
      <c r="B1791">
        <v>2026</v>
      </c>
      <c r="C1791">
        <v>1</v>
      </c>
      <c r="D1791" t="s">
        <v>32</v>
      </c>
      <c r="E1791" t="s">
        <v>16</v>
      </c>
      <c r="F1791">
        <v>-16208779</v>
      </c>
      <c r="G1791" s="3" t="s">
        <v>32</v>
      </c>
      <c r="H1791" t="str">
        <f>_xlfn.XLOOKUP(TRIM(D1791),對應!D:D,對應!E:E,"未對應")</f>
        <v>5百事益</v>
      </c>
    </row>
    <row r="1792" spans="1:8" x14ac:dyDescent="0.4">
      <c r="A1792" t="s">
        <v>31</v>
      </c>
      <c r="B1792">
        <v>2026</v>
      </c>
      <c r="C1792">
        <v>1</v>
      </c>
      <c r="D1792" t="s">
        <v>32</v>
      </c>
      <c r="E1792" t="s">
        <v>16</v>
      </c>
      <c r="F1792">
        <v>-7532</v>
      </c>
      <c r="G1792" s="3" t="s">
        <v>32</v>
      </c>
      <c r="H1792" t="str">
        <f>_xlfn.XLOOKUP(TRIM(D1792),對應!D:D,對應!E:E,"未對應")</f>
        <v>5百事益</v>
      </c>
    </row>
    <row r="1793" spans="1:8" x14ac:dyDescent="0.4">
      <c r="A1793" t="s">
        <v>31</v>
      </c>
      <c r="B1793">
        <v>2026</v>
      </c>
      <c r="C1793">
        <v>1</v>
      </c>
      <c r="D1793" t="s">
        <v>32</v>
      </c>
      <c r="E1793" t="s">
        <v>16</v>
      </c>
      <c r="F1793">
        <v>-54749</v>
      </c>
      <c r="G1793" s="3" t="s">
        <v>32</v>
      </c>
      <c r="H1793" t="str">
        <f>_xlfn.XLOOKUP(TRIM(D1793),對應!D:D,對應!E:E,"未對應")</f>
        <v>5百事益</v>
      </c>
    </row>
    <row r="1794" spans="1:8" x14ac:dyDescent="0.4">
      <c r="A1794" t="s">
        <v>23</v>
      </c>
      <c r="B1794">
        <v>2025</v>
      </c>
      <c r="C1794">
        <v>12</v>
      </c>
      <c r="D1794" t="s">
        <v>17</v>
      </c>
      <c r="E1794" t="s">
        <v>18</v>
      </c>
      <c r="F1794">
        <v>-775436</v>
      </c>
      <c r="G1794" s="3" t="s">
        <v>19</v>
      </c>
      <c r="H1794" t="str">
        <f>_xlfn.XLOOKUP(TRIM(D1794),對應!D:D,對應!E:E,"未對應")</f>
        <v>4筆電+盈嘉</v>
      </c>
    </row>
    <row r="1795" spans="1:8" x14ac:dyDescent="0.4">
      <c r="A1795" t="s">
        <v>23</v>
      </c>
      <c r="B1795">
        <v>2025</v>
      </c>
      <c r="C1795">
        <v>12</v>
      </c>
      <c r="D1795" t="s">
        <v>10</v>
      </c>
      <c r="E1795" t="s">
        <v>27</v>
      </c>
      <c r="F1795">
        <v>-12419</v>
      </c>
      <c r="G1795" s="3" t="s">
        <v>28</v>
      </c>
      <c r="H1795" t="str">
        <f>_xlfn.XLOOKUP(TRIM(D1795),對應!D:D,對應!E:E,"未對應")</f>
        <v>3通路方案</v>
      </c>
    </row>
    <row r="1796" spans="1:8" x14ac:dyDescent="0.4">
      <c r="A1796" t="s">
        <v>23</v>
      </c>
      <c r="B1796">
        <v>2025</v>
      </c>
      <c r="C1796">
        <v>12</v>
      </c>
      <c r="D1796" t="s">
        <v>10</v>
      </c>
      <c r="E1796" t="s">
        <v>16</v>
      </c>
      <c r="F1796">
        <v>-2759636</v>
      </c>
      <c r="G1796" s="3" t="s">
        <v>16</v>
      </c>
      <c r="H1796" t="str">
        <f>_xlfn.XLOOKUP(TRIM(D1796),對應!D:D,對應!E:E,"未對應")</f>
        <v>3通路方案</v>
      </c>
    </row>
    <row r="1797" spans="1:8" x14ac:dyDescent="0.4">
      <c r="A1797" t="s">
        <v>23</v>
      </c>
      <c r="B1797">
        <v>2025</v>
      </c>
      <c r="C1797">
        <v>12</v>
      </c>
      <c r="D1797" t="s">
        <v>15</v>
      </c>
      <c r="E1797" t="s">
        <v>16</v>
      </c>
      <c r="F1797">
        <v>-705050</v>
      </c>
      <c r="G1797" s="3" t="s">
        <v>16</v>
      </c>
      <c r="H1797" t="str">
        <f>_xlfn.XLOOKUP(TRIM(D1797),對應!D:D,對應!E:E,"未對應")</f>
        <v>7製造</v>
      </c>
    </row>
    <row r="1798" spans="1:8" x14ac:dyDescent="0.4">
      <c r="A1798" t="s">
        <v>44</v>
      </c>
      <c r="B1798">
        <v>2025</v>
      </c>
      <c r="C1798">
        <v>12</v>
      </c>
      <c r="D1798" t="s">
        <v>32</v>
      </c>
      <c r="F1798">
        <v>47251</v>
      </c>
      <c r="G1798" s="3" t="s">
        <v>32</v>
      </c>
      <c r="H1798" t="str">
        <f>_xlfn.XLOOKUP(TRIM(D1798),對應!D:D,對應!E:E,"未對應")</f>
        <v>5百事益</v>
      </c>
    </row>
    <row r="1799" spans="1:8" x14ac:dyDescent="0.4">
      <c r="A1799" t="s">
        <v>44</v>
      </c>
      <c r="B1799">
        <v>2025</v>
      </c>
      <c r="C1799">
        <v>12</v>
      </c>
      <c r="D1799" t="s">
        <v>32</v>
      </c>
      <c r="F1799">
        <v>23807901</v>
      </c>
      <c r="G1799" s="3" t="s">
        <v>32</v>
      </c>
      <c r="H1799" t="str">
        <f>_xlfn.XLOOKUP(TRIM(D1799),對應!D:D,對應!E:E,"未對應")</f>
        <v>5百事益</v>
      </c>
    </row>
    <row r="1800" spans="1:8" x14ac:dyDescent="0.4">
      <c r="A1800" t="s">
        <v>41</v>
      </c>
      <c r="B1800">
        <v>2026</v>
      </c>
      <c r="C1800">
        <v>2</v>
      </c>
      <c r="D1800" t="s">
        <v>32</v>
      </c>
      <c r="E1800" t="s">
        <v>16</v>
      </c>
      <c r="F1800">
        <v>-7578134</v>
      </c>
      <c r="G1800" s="3" t="s">
        <v>32</v>
      </c>
      <c r="H1800" t="str">
        <f>_xlfn.XLOOKUP(TRIM(D1800),對應!D:D,對應!E:E,"未對應")</f>
        <v>5百事益</v>
      </c>
    </row>
    <row r="1801" spans="1:8" x14ac:dyDescent="0.4">
      <c r="A1801" t="s">
        <v>41</v>
      </c>
      <c r="B1801">
        <v>2026</v>
      </c>
      <c r="C1801">
        <v>2</v>
      </c>
      <c r="D1801" t="s">
        <v>32</v>
      </c>
      <c r="E1801" t="s">
        <v>16</v>
      </c>
      <c r="F1801">
        <v>-39911</v>
      </c>
      <c r="G1801" s="3" t="s">
        <v>32</v>
      </c>
      <c r="H1801" t="str">
        <f>_xlfn.XLOOKUP(TRIM(D1801),對應!D:D,對應!E:E,"未對應")</f>
        <v>5百事益</v>
      </c>
    </row>
    <row r="1802" spans="1:8" x14ac:dyDescent="0.4">
      <c r="A1802" t="s">
        <v>41</v>
      </c>
      <c r="B1802">
        <v>2026</v>
      </c>
      <c r="C1802">
        <v>2</v>
      </c>
      <c r="D1802" t="s">
        <v>39</v>
      </c>
      <c r="E1802" t="s">
        <v>40</v>
      </c>
      <c r="F1802">
        <v>-239761</v>
      </c>
      <c r="G1802" s="3" t="s">
        <v>42</v>
      </c>
      <c r="H1802" t="str">
        <f>_xlfn.XLOOKUP(TRIM(D1802),對應!D:D,對應!E:E,"未對應")</f>
        <v>2技宸</v>
      </c>
    </row>
    <row r="1803" spans="1:8" x14ac:dyDescent="0.4">
      <c r="A1803" t="s">
        <v>41</v>
      </c>
      <c r="B1803">
        <v>2026</v>
      </c>
      <c r="C1803">
        <v>2</v>
      </c>
      <c r="D1803" t="s">
        <v>39</v>
      </c>
      <c r="E1803" t="s">
        <v>40</v>
      </c>
      <c r="F1803">
        <v>-1643275</v>
      </c>
      <c r="G1803" s="3" t="s">
        <v>42</v>
      </c>
      <c r="H1803" t="str">
        <f>_xlfn.XLOOKUP(TRIM(D1803),對應!D:D,對應!E:E,"未對應")</f>
        <v>2技宸</v>
      </c>
    </row>
    <row r="1804" spans="1:8" x14ac:dyDescent="0.4">
      <c r="A1804" t="s">
        <v>41</v>
      </c>
      <c r="B1804">
        <v>2026</v>
      </c>
      <c r="C1804">
        <v>2</v>
      </c>
      <c r="D1804" t="s">
        <v>39</v>
      </c>
      <c r="E1804" t="s">
        <v>40</v>
      </c>
      <c r="F1804">
        <v>-686700</v>
      </c>
      <c r="G1804" s="3" t="s">
        <v>42</v>
      </c>
      <c r="H1804" t="str">
        <f>_xlfn.XLOOKUP(TRIM(D1804),對應!D:D,對應!E:E,"未對應")</f>
        <v>2技宸</v>
      </c>
    </row>
    <row r="1805" spans="1:8" x14ac:dyDescent="0.4">
      <c r="A1805" t="s">
        <v>41</v>
      </c>
      <c r="B1805">
        <v>2026</v>
      </c>
      <c r="C1805">
        <v>2</v>
      </c>
      <c r="D1805" t="s">
        <v>39</v>
      </c>
      <c r="E1805" t="s">
        <v>40</v>
      </c>
      <c r="F1805">
        <v>-1129345</v>
      </c>
      <c r="G1805" s="3" t="s">
        <v>42</v>
      </c>
      <c r="H1805" t="str">
        <f>_xlfn.XLOOKUP(TRIM(D1805),對應!D:D,對應!E:E,"未對應")</f>
        <v>2技宸</v>
      </c>
    </row>
    <row r="1806" spans="1:8" x14ac:dyDescent="0.4">
      <c r="A1806" t="s">
        <v>41</v>
      </c>
      <c r="B1806">
        <v>2026</v>
      </c>
      <c r="C1806">
        <v>2</v>
      </c>
      <c r="D1806" t="s">
        <v>39</v>
      </c>
      <c r="E1806" t="s">
        <v>40</v>
      </c>
      <c r="F1806">
        <v>-1230</v>
      </c>
      <c r="G1806" s="3" t="s">
        <v>42</v>
      </c>
      <c r="H1806" t="str">
        <f>_xlfn.XLOOKUP(TRIM(D1806),對應!D:D,對應!E:E,"未對應")</f>
        <v>2技宸</v>
      </c>
    </row>
    <row r="1807" spans="1:8" x14ac:dyDescent="0.4">
      <c r="A1807" t="s">
        <v>41</v>
      </c>
      <c r="B1807">
        <v>2026</v>
      </c>
      <c r="C1807">
        <v>2</v>
      </c>
      <c r="D1807" t="s">
        <v>8</v>
      </c>
      <c r="E1807" t="s">
        <v>33</v>
      </c>
      <c r="F1807">
        <v>-8184927</v>
      </c>
      <c r="G1807" s="3" t="s">
        <v>9</v>
      </c>
      <c r="H1807" t="str">
        <f>_xlfn.XLOOKUP(TRIM(D1807),對應!D:D,對應!E:E,"未對應")</f>
        <v>1網通+技鋼</v>
      </c>
    </row>
    <row r="1808" spans="1:8" x14ac:dyDescent="0.4">
      <c r="A1808" t="s">
        <v>41</v>
      </c>
      <c r="B1808">
        <v>2026</v>
      </c>
      <c r="C1808">
        <v>2</v>
      </c>
      <c r="D1808" t="s">
        <v>8</v>
      </c>
      <c r="E1808" t="s">
        <v>33</v>
      </c>
      <c r="F1808">
        <v>-6300999</v>
      </c>
      <c r="G1808" s="3" t="s">
        <v>9</v>
      </c>
      <c r="H1808" t="str">
        <f>_xlfn.XLOOKUP(TRIM(D1808),對應!D:D,對應!E:E,"未對應")</f>
        <v>1網通+技鋼</v>
      </c>
    </row>
    <row r="1809" spans="1:8" x14ac:dyDescent="0.4">
      <c r="A1809" t="s">
        <v>41</v>
      </c>
      <c r="B1809">
        <v>2026</v>
      </c>
      <c r="C1809">
        <v>2</v>
      </c>
      <c r="D1809" t="s">
        <v>8</v>
      </c>
      <c r="E1809" t="s">
        <v>33</v>
      </c>
      <c r="F1809">
        <v>-57770173</v>
      </c>
      <c r="G1809" s="3" t="s">
        <v>9</v>
      </c>
      <c r="H1809" t="str">
        <f>_xlfn.XLOOKUP(TRIM(D1809),對應!D:D,對應!E:E,"未對應")</f>
        <v>1網通+技鋼</v>
      </c>
    </row>
    <row r="1810" spans="1:8" x14ac:dyDescent="0.4">
      <c r="A1810" t="s">
        <v>41</v>
      </c>
      <c r="B1810">
        <v>2026</v>
      </c>
      <c r="C1810">
        <v>2</v>
      </c>
      <c r="D1810" t="s">
        <v>8</v>
      </c>
      <c r="E1810" t="s">
        <v>33</v>
      </c>
      <c r="F1810">
        <v>-102782225</v>
      </c>
      <c r="G1810" s="3" t="s">
        <v>9</v>
      </c>
      <c r="H1810" t="str">
        <f>_xlfn.XLOOKUP(TRIM(D1810),對應!D:D,對應!E:E,"未對應")</f>
        <v>1網通+技鋼</v>
      </c>
    </row>
    <row r="1811" spans="1:8" x14ac:dyDescent="0.4">
      <c r="A1811" t="s">
        <v>41</v>
      </c>
      <c r="B1811">
        <v>2026</v>
      </c>
      <c r="C1811">
        <v>2</v>
      </c>
      <c r="D1811" t="s">
        <v>8</v>
      </c>
      <c r="E1811" t="s">
        <v>33</v>
      </c>
      <c r="F1811">
        <v>-179319</v>
      </c>
      <c r="G1811" s="3" t="s">
        <v>9</v>
      </c>
      <c r="H1811" t="str">
        <f>_xlfn.XLOOKUP(TRIM(D1811),對應!D:D,對應!E:E,"未對應")</f>
        <v>1網通+技鋼</v>
      </c>
    </row>
    <row r="1812" spans="1:8" x14ac:dyDescent="0.4">
      <c r="A1812" t="s">
        <v>41</v>
      </c>
      <c r="B1812">
        <v>2026</v>
      </c>
      <c r="C1812">
        <v>2</v>
      </c>
      <c r="D1812" t="s">
        <v>8</v>
      </c>
      <c r="E1812" t="s">
        <v>33</v>
      </c>
      <c r="F1812">
        <v>-180000</v>
      </c>
      <c r="G1812" s="3" t="s">
        <v>9</v>
      </c>
      <c r="H1812" t="str">
        <f>_xlfn.XLOOKUP(TRIM(D1812),對應!D:D,對應!E:E,"未對應")</f>
        <v>1網通+技鋼</v>
      </c>
    </row>
    <row r="1813" spans="1:8" x14ac:dyDescent="0.4">
      <c r="A1813" t="s">
        <v>41</v>
      </c>
      <c r="B1813">
        <v>2026</v>
      </c>
      <c r="C1813">
        <v>2</v>
      </c>
      <c r="D1813" t="s">
        <v>17</v>
      </c>
      <c r="E1813" t="s">
        <v>18</v>
      </c>
      <c r="F1813">
        <v>-30011395</v>
      </c>
      <c r="G1813" s="3" t="s">
        <v>19</v>
      </c>
      <c r="H1813" t="str">
        <f>_xlfn.XLOOKUP(TRIM(D1813),對應!D:D,對應!E:E,"未對應")</f>
        <v>4筆電+盈嘉</v>
      </c>
    </row>
    <row r="1814" spans="1:8" x14ac:dyDescent="0.4">
      <c r="A1814" t="s">
        <v>41</v>
      </c>
      <c r="B1814">
        <v>2026</v>
      </c>
      <c r="C1814">
        <v>2</v>
      </c>
      <c r="D1814" t="s">
        <v>37</v>
      </c>
      <c r="E1814" t="s">
        <v>16</v>
      </c>
      <c r="F1814">
        <v>-70180</v>
      </c>
      <c r="G1814" s="3" t="s">
        <v>37</v>
      </c>
      <c r="H1814" t="str">
        <f>_xlfn.XLOOKUP(TRIM(D1814),對應!D:D,對應!E:E,"未對應")</f>
        <v>6雲城</v>
      </c>
    </row>
    <row r="1815" spans="1:8" x14ac:dyDescent="0.4">
      <c r="A1815" t="s">
        <v>41</v>
      </c>
      <c r="B1815">
        <v>2026</v>
      </c>
      <c r="C1815">
        <v>2</v>
      </c>
      <c r="D1815" t="s">
        <v>37</v>
      </c>
      <c r="E1815" t="s">
        <v>16</v>
      </c>
      <c r="F1815">
        <v>-38495</v>
      </c>
      <c r="G1815" s="3" t="s">
        <v>37</v>
      </c>
      <c r="H1815" t="str">
        <f>_xlfn.XLOOKUP(TRIM(D1815),對應!D:D,對應!E:E,"未對應")</f>
        <v>6雲城</v>
      </c>
    </row>
    <row r="1816" spans="1:8" x14ac:dyDescent="0.4">
      <c r="A1816" t="s">
        <v>45</v>
      </c>
      <c r="B1816">
        <v>2026</v>
      </c>
      <c r="C1816">
        <v>2</v>
      </c>
      <c r="D1816" t="s">
        <v>15</v>
      </c>
      <c r="E1816" t="s">
        <v>16</v>
      </c>
      <c r="F1816">
        <v>585844</v>
      </c>
      <c r="G1816" s="3" t="s">
        <v>16</v>
      </c>
      <c r="H1816" t="str">
        <f>_xlfn.XLOOKUP(TRIM(D1816),對應!D:D,對應!E:E,"未對應")</f>
        <v>7製造</v>
      </c>
    </row>
    <row r="1817" spans="1:8" x14ac:dyDescent="0.4">
      <c r="A1817" t="s">
        <v>43</v>
      </c>
      <c r="B1817">
        <v>2026</v>
      </c>
      <c r="C1817">
        <v>2</v>
      </c>
      <c r="D1817" t="s">
        <v>32</v>
      </c>
      <c r="E1817" t="s">
        <v>16</v>
      </c>
      <c r="F1817">
        <v>11545575</v>
      </c>
      <c r="G1817" s="3" t="s">
        <v>32</v>
      </c>
      <c r="H1817" t="str">
        <f>_xlfn.XLOOKUP(TRIM(D1817),對應!D:D,對應!E:E,"未對應")</f>
        <v>5百事益</v>
      </c>
    </row>
    <row r="1818" spans="1:8" x14ac:dyDescent="0.4">
      <c r="A1818" t="s">
        <v>43</v>
      </c>
      <c r="B1818">
        <v>2026</v>
      </c>
      <c r="C1818">
        <v>2</v>
      </c>
      <c r="D1818" t="s">
        <v>32</v>
      </c>
      <c r="E1818" t="s">
        <v>16</v>
      </c>
      <c r="F1818">
        <v>490755</v>
      </c>
      <c r="G1818" s="3" t="s">
        <v>32</v>
      </c>
      <c r="H1818" t="str">
        <f>_xlfn.XLOOKUP(TRIM(D1818),對應!D:D,對應!E:E,"未對應")</f>
        <v>5百事益</v>
      </c>
    </row>
    <row r="1819" spans="1:8" x14ac:dyDescent="0.4">
      <c r="A1819" t="s">
        <v>43</v>
      </c>
      <c r="B1819">
        <v>2026</v>
      </c>
      <c r="C1819">
        <v>2</v>
      </c>
      <c r="D1819" t="s">
        <v>10</v>
      </c>
      <c r="E1819" t="s">
        <v>24</v>
      </c>
      <c r="F1819">
        <v>427937396</v>
      </c>
      <c r="G1819" s="3" t="s">
        <v>14</v>
      </c>
      <c r="H1819" t="str">
        <f>_xlfn.XLOOKUP(TRIM(D1819),對應!D:D,對應!E:E,"未對應")</f>
        <v>3通路方案</v>
      </c>
    </row>
    <row r="1820" spans="1:8" x14ac:dyDescent="0.4">
      <c r="A1820" t="s">
        <v>43</v>
      </c>
      <c r="B1820">
        <v>2026</v>
      </c>
      <c r="C1820">
        <v>2</v>
      </c>
      <c r="D1820" t="s">
        <v>10</v>
      </c>
      <c r="E1820" t="s">
        <v>29</v>
      </c>
      <c r="F1820">
        <v>888303</v>
      </c>
      <c r="G1820" s="3" t="s">
        <v>12</v>
      </c>
      <c r="H1820" t="str">
        <f>_xlfn.XLOOKUP(TRIM(D1820),對應!D:D,對應!E:E,"未對應")</f>
        <v>3通路方案</v>
      </c>
    </row>
    <row r="1821" spans="1:8" x14ac:dyDescent="0.4">
      <c r="A1821" t="s">
        <v>43</v>
      </c>
      <c r="B1821">
        <v>2026</v>
      </c>
      <c r="C1821">
        <v>2</v>
      </c>
      <c r="D1821" t="s">
        <v>10</v>
      </c>
      <c r="E1821" t="s">
        <v>25</v>
      </c>
      <c r="F1821">
        <v>15586</v>
      </c>
      <c r="G1821" s="3" t="s">
        <v>14</v>
      </c>
      <c r="H1821" t="str">
        <f>_xlfn.XLOOKUP(TRIM(D1821),對應!D:D,對應!E:E,"未對應")</f>
        <v>3通路方案</v>
      </c>
    </row>
    <row r="1822" spans="1:8" x14ac:dyDescent="0.4">
      <c r="A1822" t="s">
        <v>43</v>
      </c>
      <c r="B1822">
        <v>2026</v>
      </c>
      <c r="C1822">
        <v>2</v>
      </c>
      <c r="D1822" t="s">
        <v>10</v>
      </c>
      <c r="E1822" t="s">
        <v>27</v>
      </c>
      <c r="F1822">
        <v>19844744</v>
      </c>
      <c r="G1822" s="3" t="s">
        <v>28</v>
      </c>
      <c r="H1822" t="str">
        <f>_xlfn.XLOOKUP(TRIM(D1822),對應!D:D,對應!E:E,"未對應")</f>
        <v>3通路方案</v>
      </c>
    </row>
    <row r="1823" spans="1:8" x14ac:dyDescent="0.4">
      <c r="A1823" t="s">
        <v>43</v>
      </c>
      <c r="B1823">
        <v>2026</v>
      </c>
      <c r="C1823">
        <v>2</v>
      </c>
      <c r="D1823" t="s">
        <v>10</v>
      </c>
      <c r="E1823" t="s">
        <v>16</v>
      </c>
      <c r="F1823">
        <v>702</v>
      </c>
      <c r="G1823" s="3" t="s">
        <v>16</v>
      </c>
      <c r="H1823" t="str">
        <f>_xlfn.XLOOKUP(TRIM(D1823),對應!D:D,對應!E:E,"未對應")</f>
        <v>3通路方案</v>
      </c>
    </row>
    <row r="1824" spans="1:8" x14ac:dyDescent="0.4">
      <c r="A1824" t="s">
        <v>43</v>
      </c>
      <c r="B1824">
        <v>2026</v>
      </c>
      <c r="C1824">
        <v>2</v>
      </c>
      <c r="D1824" t="s">
        <v>10</v>
      </c>
      <c r="E1824" t="s">
        <v>21</v>
      </c>
      <c r="F1824">
        <v>611717764</v>
      </c>
      <c r="G1824" s="3" t="s">
        <v>22</v>
      </c>
      <c r="H1824" t="str">
        <f>_xlfn.XLOOKUP(TRIM(D1824),對應!D:D,對應!E:E,"未對應")</f>
        <v>3通路方案</v>
      </c>
    </row>
    <row r="1825" spans="1:8" x14ac:dyDescent="0.4">
      <c r="A1825" t="s">
        <v>43</v>
      </c>
      <c r="B1825">
        <v>2026</v>
      </c>
      <c r="C1825">
        <v>2</v>
      </c>
      <c r="D1825" t="s">
        <v>8</v>
      </c>
      <c r="E1825" t="s">
        <v>33</v>
      </c>
      <c r="F1825">
        <v>6277171</v>
      </c>
      <c r="G1825" s="3" t="s">
        <v>9</v>
      </c>
      <c r="H1825" t="str">
        <f>_xlfn.XLOOKUP(TRIM(D1825),對應!D:D,對應!E:E,"未對應")</f>
        <v>1網通+技鋼</v>
      </c>
    </row>
    <row r="1826" spans="1:8" x14ac:dyDescent="0.4">
      <c r="A1826" t="s">
        <v>43</v>
      </c>
      <c r="B1826">
        <v>2026</v>
      </c>
      <c r="C1826">
        <v>2</v>
      </c>
      <c r="D1826" t="s">
        <v>32</v>
      </c>
      <c r="E1826" t="s">
        <v>16</v>
      </c>
      <c r="F1826">
        <v>5555713</v>
      </c>
      <c r="G1826" s="3" t="s">
        <v>32</v>
      </c>
      <c r="H1826" t="str">
        <f>_xlfn.XLOOKUP(TRIM(D1826),對應!D:D,對應!E:E,"未對應")</f>
        <v>5百事益</v>
      </c>
    </row>
    <row r="1827" spans="1:8" x14ac:dyDescent="0.4">
      <c r="A1827" t="s">
        <v>43</v>
      </c>
      <c r="B1827">
        <v>2026</v>
      </c>
      <c r="C1827">
        <v>2</v>
      </c>
      <c r="D1827" t="s">
        <v>10</v>
      </c>
      <c r="E1827" t="s">
        <v>16</v>
      </c>
      <c r="F1827">
        <v>6870214</v>
      </c>
      <c r="G1827" s="3" t="s">
        <v>16</v>
      </c>
      <c r="H1827" t="str">
        <f>_xlfn.XLOOKUP(TRIM(D1827),對應!D:D,對應!E:E,"未對應")</f>
        <v>3通路方案</v>
      </c>
    </row>
    <row r="1828" spans="1:8" x14ac:dyDescent="0.4">
      <c r="A1828" t="s">
        <v>43</v>
      </c>
      <c r="B1828">
        <v>2026</v>
      </c>
      <c r="C1828">
        <v>2</v>
      </c>
      <c r="D1828" t="s">
        <v>32</v>
      </c>
      <c r="E1828" t="s">
        <v>16</v>
      </c>
      <c r="F1828">
        <v>9520912</v>
      </c>
      <c r="G1828" s="3" t="s">
        <v>32</v>
      </c>
      <c r="H1828" t="str">
        <f>_xlfn.XLOOKUP(TRIM(D1828),對應!D:D,對應!E:E,"未對應")</f>
        <v>5百事益</v>
      </c>
    </row>
    <row r="1829" spans="1:8" x14ac:dyDescent="0.4">
      <c r="A1829" t="s">
        <v>43</v>
      </c>
      <c r="B1829">
        <v>2026</v>
      </c>
      <c r="C1829">
        <v>2</v>
      </c>
      <c r="D1829" t="s">
        <v>17</v>
      </c>
      <c r="E1829" t="s">
        <v>18</v>
      </c>
      <c r="F1829">
        <v>21230987</v>
      </c>
      <c r="G1829" s="3" t="s">
        <v>19</v>
      </c>
      <c r="H1829" t="str">
        <f>_xlfn.XLOOKUP(TRIM(D1829),對應!D:D,對應!E:E,"未對應")</f>
        <v>4筆電+盈嘉</v>
      </c>
    </row>
    <row r="1830" spans="1:8" x14ac:dyDescent="0.4">
      <c r="A1830" t="s">
        <v>43</v>
      </c>
      <c r="B1830">
        <v>2026</v>
      </c>
      <c r="C1830">
        <v>2</v>
      </c>
      <c r="D1830" t="s">
        <v>10</v>
      </c>
      <c r="E1830" t="s">
        <v>24</v>
      </c>
      <c r="F1830">
        <v>391494664</v>
      </c>
      <c r="G1830" s="3" t="s">
        <v>14</v>
      </c>
      <c r="H1830" t="str">
        <f>_xlfn.XLOOKUP(TRIM(D1830),對應!D:D,對應!E:E,"未對應")</f>
        <v>3通路方案</v>
      </c>
    </row>
    <row r="1831" spans="1:8" x14ac:dyDescent="0.4">
      <c r="A1831" t="s">
        <v>43</v>
      </c>
      <c r="B1831">
        <v>2026</v>
      </c>
      <c r="C1831">
        <v>2</v>
      </c>
      <c r="D1831" t="s">
        <v>10</v>
      </c>
      <c r="E1831" t="s">
        <v>30</v>
      </c>
      <c r="F1831">
        <v>74175</v>
      </c>
      <c r="G1831" s="3" t="s">
        <v>12</v>
      </c>
      <c r="H1831" t="str">
        <f>_xlfn.XLOOKUP(TRIM(D1831),對應!D:D,對應!E:E,"未對應")</f>
        <v>3通路方案</v>
      </c>
    </row>
    <row r="1832" spans="1:8" x14ac:dyDescent="0.4">
      <c r="A1832" t="s">
        <v>43</v>
      </c>
      <c r="B1832">
        <v>2026</v>
      </c>
      <c r="C1832">
        <v>2</v>
      </c>
      <c r="D1832" t="s">
        <v>10</v>
      </c>
      <c r="E1832" t="s">
        <v>25</v>
      </c>
      <c r="F1832">
        <v>-6250</v>
      </c>
      <c r="G1832" s="3" t="s">
        <v>14</v>
      </c>
      <c r="H1832" t="str">
        <f>_xlfn.XLOOKUP(TRIM(D1832),對應!D:D,對應!E:E,"未對應")</f>
        <v>3通路方案</v>
      </c>
    </row>
    <row r="1833" spans="1:8" x14ac:dyDescent="0.4">
      <c r="A1833" t="s">
        <v>43</v>
      </c>
      <c r="B1833">
        <v>2026</v>
      </c>
      <c r="C1833">
        <v>2</v>
      </c>
      <c r="D1833" t="s">
        <v>10</v>
      </c>
      <c r="E1833" t="s">
        <v>27</v>
      </c>
      <c r="F1833">
        <v>44348052</v>
      </c>
      <c r="G1833" s="3" t="s">
        <v>28</v>
      </c>
      <c r="H1833" t="str">
        <f>_xlfn.XLOOKUP(TRIM(D1833),對應!D:D,對應!E:E,"未對應")</f>
        <v>3通路方案</v>
      </c>
    </row>
    <row r="1834" spans="1:8" x14ac:dyDescent="0.4">
      <c r="A1834" t="s">
        <v>43</v>
      </c>
      <c r="B1834">
        <v>2026</v>
      </c>
      <c r="C1834">
        <v>2</v>
      </c>
      <c r="D1834" t="s">
        <v>10</v>
      </c>
      <c r="E1834" t="s">
        <v>11</v>
      </c>
      <c r="F1834">
        <v>13016563</v>
      </c>
      <c r="G1834" s="3" t="s">
        <v>12</v>
      </c>
      <c r="H1834" t="str">
        <f>_xlfn.XLOOKUP(TRIM(D1834),對應!D:D,對應!E:E,"未對應")</f>
        <v>3通路方案</v>
      </c>
    </row>
    <row r="1835" spans="1:8" x14ac:dyDescent="0.4">
      <c r="A1835" t="s">
        <v>43</v>
      </c>
      <c r="B1835">
        <v>2026</v>
      </c>
      <c r="C1835">
        <v>2</v>
      </c>
      <c r="D1835" t="s">
        <v>10</v>
      </c>
      <c r="E1835" t="s">
        <v>26</v>
      </c>
      <c r="F1835">
        <v>1842734</v>
      </c>
      <c r="G1835" s="3" t="s">
        <v>14</v>
      </c>
      <c r="H1835" t="str">
        <f>_xlfn.XLOOKUP(TRIM(D1835),對應!D:D,對應!E:E,"未對應")</f>
        <v>3通路方案</v>
      </c>
    </row>
    <row r="1836" spans="1:8" x14ac:dyDescent="0.4">
      <c r="A1836" t="s">
        <v>43</v>
      </c>
      <c r="B1836">
        <v>2026</v>
      </c>
      <c r="C1836">
        <v>2</v>
      </c>
      <c r="D1836" t="s">
        <v>10</v>
      </c>
      <c r="E1836" t="s">
        <v>21</v>
      </c>
      <c r="F1836">
        <v>1528889839</v>
      </c>
      <c r="G1836" s="3" t="s">
        <v>22</v>
      </c>
      <c r="H1836" t="str">
        <f>_xlfn.XLOOKUP(TRIM(D1836),對應!D:D,對應!E:E,"未對應")</f>
        <v>3通路方案</v>
      </c>
    </row>
    <row r="1837" spans="1:8" x14ac:dyDescent="0.4">
      <c r="A1837" t="s">
        <v>43</v>
      </c>
      <c r="B1837">
        <v>2026</v>
      </c>
      <c r="C1837">
        <v>2</v>
      </c>
      <c r="D1837" t="s">
        <v>10</v>
      </c>
      <c r="E1837" t="s">
        <v>16</v>
      </c>
      <c r="F1837">
        <v>19660359</v>
      </c>
      <c r="G1837" s="3" t="s">
        <v>16</v>
      </c>
      <c r="H1837" t="str">
        <f>_xlfn.XLOOKUP(TRIM(D1837),對應!D:D,對應!E:E,"未對應")</f>
        <v>3通路方案</v>
      </c>
    </row>
    <row r="1838" spans="1:8" x14ac:dyDescent="0.4">
      <c r="A1838" t="s">
        <v>43</v>
      </c>
      <c r="B1838">
        <v>2026</v>
      </c>
      <c r="C1838">
        <v>2</v>
      </c>
      <c r="D1838" t="s">
        <v>8</v>
      </c>
      <c r="E1838" t="s">
        <v>33</v>
      </c>
      <c r="F1838">
        <v>25679860</v>
      </c>
      <c r="G1838" s="3" t="s">
        <v>9</v>
      </c>
      <c r="H1838" t="str">
        <f>_xlfn.XLOOKUP(TRIM(D1838),對應!D:D,對應!E:E,"未對應")</f>
        <v>1網通+技鋼</v>
      </c>
    </row>
    <row r="1839" spans="1:8" x14ac:dyDescent="0.4">
      <c r="A1839" t="s">
        <v>43</v>
      </c>
      <c r="B1839">
        <v>2026</v>
      </c>
      <c r="C1839">
        <v>2</v>
      </c>
      <c r="D1839" t="s">
        <v>8</v>
      </c>
      <c r="E1839" t="s">
        <v>33</v>
      </c>
      <c r="F1839">
        <v>435045</v>
      </c>
      <c r="G1839" s="3" t="s">
        <v>9</v>
      </c>
      <c r="H1839" t="str">
        <f>_xlfn.XLOOKUP(TRIM(D1839),對應!D:D,對應!E:E,"未對應")</f>
        <v>1網通+技鋼</v>
      </c>
    </row>
    <row r="1840" spans="1:8" x14ac:dyDescent="0.4">
      <c r="A1840" t="s">
        <v>43</v>
      </c>
      <c r="B1840">
        <v>2026</v>
      </c>
      <c r="C1840">
        <v>2</v>
      </c>
      <c r="D1840" t="s">
        <v>8</v>
      </c>
      <c r="E1840" t="s">
        <v>33</v>
      </c>
      <c r="F1840">
        <v>197377173</v>
      </c>
      <c r="G1840" s="3" t="s">
        <v>9</v>
      </c>
      <c r="H1840" t="str">
        <f>_xlfn.XLOOKUP(TRIM(D1840),對應!D:D,對應!E:E,"未對應")</f>
        <v>1網通+技鋼</v>
      </c>
    </row>
    <row r="1841" spans="1:8" x14ac:dyDescent="0.4">
      <c r="A1841" t="s">
        <v>43</v>
      </c>
      <c r="B1841">
        <v>2026</v>
      </c>
      <c r="C1841">
        <v>2</v>
      </c>
      <c r="D1841" t="s">
        <v>10</v>
      </c>
      <c r="E1841" t="s">
        <v>26</v>
      </c>
      <c r="F1841">
        <v>4453003</v>
      </c>
      <c r="G1841" s="3" t="s">
        <v>14</v>
      </c>
      <c r="H1841" t="str">
        <f>_xlfn.XLOOKUP(TRIM(D1841),對應!D:D,對應!E:E,"未對應")</f>
        <v>3通路方案</v>
      </c>
    </row>
    <row r="1842" spans="1:8" x14ac:dyDescent="0.4">
      <c r="A1842" t="s">
        <v>43</v>
      </c>
      <c r="B1842">
        <v>2026</v>
      </c>
      <c r="C1842">
        <v>2</v>
      </c>
      <c r="D1842" t="s">
        <v>32</v>
      </c>
      <c r="E1842" t="s">
        <v>16</v>
      </c>
      <c r="F1842">
        <v>32532</v>
      </c>
      <c r="G1842" s="3" t="s">
        <v>32</v>
      </c>
      <c r="H1842" t="str">
        <f>_xlfn.XLOOKUP(TRIM(D1842),對應!D:D,對應!E:E,"未對應")</f>
        <v>5百事益</v>
      </c>
    </row>
    <row r="1843" spans="1:8" x14ac:dyDescent="0.4">
      <c r="A1843" t="s">
        <v>43</v>
      </c>
      <c r="B1843">
        <v>2026</v>
      </c>
      <c r="C1843">
        <v>2</v>
      </c>
      <c r="D1843" t="s">
        <v>17</v>
      </c>
      <c r="E1843" t="s">
        <v>18</v>
      </c>
      <c r="F1843">
        <v>325792</v>
      </c>
      <c r="G1843" s="3" t="s">
        <v>19</v>
      </c>
      <c r="H1843" t="str">
        <f>_xlfn.XLOOKUP(TRIM(D1843),對應!D:D,對應!E:E,"未對應")</f>
        <v>4筆電+盈嘉</v>
      </c>
    </row>
    <row r="1844" spans="1:8" x14ac:dyDescent="0.4">
      <c r="A1844" t="s">
        <v>43</v>
      </c>
      <c r="B1844">
        <v>2025</v>
      </c>
      <c r="C1844">
        <v>10</v>
      </c>
      <c r="D1844" t="s">
        <v>10</v>
      </c>
      <c r="E1844" t="s">
        <v>26</v>
      </c>
      <c r="F1844">
        <v>311900</v>
      </c>
      <c r="G1844" s="3" t="s">
        <v>14</v>
      </c>
      <c r="H1844" t="str">
        <f>_xlfn.XLOOKUP(TRIM(D1844),對應!D:D,對應!E:E,"未對應")</f>
        <v>3通路方案</v>
      </c>
    </row>
    <row r="1845" spans="1:8" x14ac:dyDescent="0.4">
      <c r="A1845" t="s">
        <v>43</v>
      </c>
      <c r="B1845">
        <v>2025</v>
      </c>
      <c r="C1845">
        <v>10</v>
      </c>
      <c r="D1845" t="s">
        <v>10</v>
      </c>
      <c r="E1845" t="s">
        <v>21</v>
      </c>
      <c r="F1845">
        <v>1738992024</v>
      </c>
      <c r="G1845" s="3" t="s">
        <v>22</v>
      </c>
      <c r="H1845" t="str">
        <f>_xlfn.XLOOKUP(TRIM(D1845),對應!D:D,對應!E:E,"未對應")</f>
        <v>3通路方案</v>
      </c>
    </row>
    <row r="1846" spans="1:8" x14ac:dyDescent="0.4">
      <c r="A1846" t="s">
        <v>36</v>
      </c>
      <c r="B1846">
        <v>2026</v>
      </c>
      <c r="C1846">
        <v>1</v>
      </c>
      <c r="D1846" t="s">
        <v>32</v>
      </c>
      <c r="E1846" t="s">
        <v>16</v>
      </c>
      <c r="F1846">
        <v>81256423</v>
      </c>
      <c r="G1846" s="3" t="s">
        <v>32</v>
      </c>
      <c r="H1846" t="str">
        <f>_xlfn.XLOOKUP(TRIM(D1846),對應!D:D,對應!E:E,"未對應")</f>
        <v>5百事益</v>
      </c>
    </row>
    <row r="1847" spans="1:8" x14ac:dyDescent="0.4">
      <c r="A1847" t="s">
        <v>36</v>
      </c>
      <c r="B1847">
        <v>2026</v>
      </c>
      <c r="C1847">
        <v>1</v>
      </c>
      <c r="D1847" t="s">
        <v>39</v>
      </c>
      <c r="E1847" t="s">
        <v>40</v>
      </c>
      <c r="F1847">
        <v>216509010</v>
      </c>
      <c r="G1847" s="3" t="s">
        <v>42</v>
      </c>
      <c r="H1847" t="str">
        <f>_xlfn.XLOOKUP(TRIM(D1847),對應!D:D,對應!E:E,"未對應")</f>
        <v>2技宸</v>
      </c>
    </row>
    <row r="1848" spans="1:8" x14ac:dyDescent="0.4">
      <c r="A1848" t="s">
        <v>36</v>
      </c>
      <c r="B1848">
        <v>2026</v>
      </c>
      <c r="C1848">
        <v>1</v>
      </c>
      <c r="D1848" t="s">
        <v>8</v>
      </c>
      <c r="E1848" t="s">
        <v>33</v>
      </c>
      <c r="F1848">
        <v>19716429498</v>
      </c>
      <c r="G1848" s="3" t="s">
        <v>9</v>
      </c>
      <c r="H1848" t="str">
        <f>_xlfn.XLOOKUP(TRIM(D1848),對應!D:D,對應!E:E,"未對應")</f>
        <v>1網通+技鋼</v>
      </c>
    </row>
    <row r="1849" spans="1:8" x14ac:dyDescent="0.4">
      <c r="A1849" t="s">
        <v>36</v>
      </c>
      <c r="B1849">
        <v>2026</v>
      </c>
      <c r="C1849">
        <v>1</v>
      </c>
      <c r="D1849" t="s">
        <v>17</v>
      </c>
      <c r="E1849" t="s">
        <v>18</v>
      </c>
      <c r="F1849">
        <v>26494475</v>
      </c>
      <c r="G1849" s="3" t="s">
        <v>19</v>
      </c>
      <c r="H1849" t="str">
        <f>_xlfn.XLOOKUP(TRIM(D1849),對應!D:D,對應!E:E,"未對應")</f>
        <v>4筆電+盈嘉</v>
      </c>
    </row>
    <row r="1850" spans="1:8" x14ac:dyDescent="0.4">
      <c r="A1850" t="s">
        <v>36</v>
      </c>
      <c r="B1850">
        <v>2026</v>
      </c>
      <c r="C1850">
        <v>1</v>
      </c>
      <c r="D1850" t="s">
        <v>15</v>
      </c>
      <c r="E1850" t="s">
        <v>16</v>
      </c>
      <c r="F1850">
        <v>853988</v>
      </c>
      <c r="G1850" s="3" t="s">
        <v>16</v>
      </c>
      <c r="H1850" t="str">
        <f>_xlfn.XLOOKUP(TRIM(D1850),對應!D:D,對應!E:E,"未對應")</f>
        <v>7製造</v>
      </c>
    </row>
    <row r="1851" spans="1:8" x14ac:dyDescent="0.4">
      <c r="A1851" t="s">
        <v>36</v>
      </c>
      <c r="B1851">
        <v>2026</v>
      </c>
      <c r="C1851">
        <v>1</v>
      </c>
      <c r="D1851" t="s">
        <v>37</v>
      </c>
      <c r="E1851" t="s">
        <v>16</v>
      </c>
      <c r="F1851">
        <v>87227709</v>
      </c>
      <c r="G1851" s="3" t="s">
        <v>37</v>
      </c>
      <c r="H1851" t="str">
        <f>_xlfn.XLOOKUP(TRIM(D1851),對應!D:D,對應!E:E,"未對應")</f>
        <v>6雲城</v>
      </c>
    </row>
    <row r="1852" spans="1:8" x14ac:dyDescent="0.4">
      <c r="A1852" t="s">
        <v>36</v>
      </c>
      <c r="B1852">
        <v>2026</v>
      </c>
      <c r="C1852">
        <v>1</v>
      </c>
      <c r="D1852" t="s">
        <v>15</v>
      </c>
      <c r="E1852" t="s">
        <v>16</v>
      </c>
      <c r="F1852">
        <v>938568</v>
      </c>
      <c r="G1852" s="3" t="s">
        <v>16</v>
      </c>
      <c r="H1852" t="str">
        <f>_xlfn.XLOOKUP(TRIM(D1852),對應!D:D,對應!E:E,"未對應")</f>
        <v>7製造</v>
      </c>
    </row>
    <row r="1853" spans="1:8" x14ac:dyDescent="0.4">
      <c r="A1853" t="s">
        <v>41</v>
      </c>
      <c r="B1853">
        <v>2026</v>
      </c>
      <c r="C1853">
        <v>1</v>
      </c>
      <c r="D1853" t="s">
        <v>32</v>
      </c>
      <c r="E1853" t="s">
        <v>16</v>
      </c>
      <c r="F1853">
        <v>-45653317</v>
      </c>
      <c r="G1853" s="3" t="s">
        <v>32</v>
      </c>
      <c r="H1853" t="str">
        <f>_xlfn.XLOOKUP(TRIM(D1853),對應!D:D,對應!E:E,"未對應")</f>
        <v>5百事益</v>
      </c>
    </row>
    <row r="1854" spans="1:8" x14ac:dyDescent="0.4">
      <c r="A1854" t="s">
        <v>41</v>
      </c>
      <c r="B1854">
        <v>2026</v>
      </c>
      <c r="C1854">
        <v>1</v>
      </c>
      <c r="D1854" t="s">
        <v>32</v>
      </c>
      <c r="E1854" t="s">
        <v>16</v>
      </c>
      <c r="F1854">
        <v>-97738</v>
      </c>
      <c r="G1854" s="3" t="s">
        <v>32</v>
      </c>
      <c r="H1854" t="str">
        <f>_xlfn.XLOOKUP(TRIM(D1854),對應!D:D,對應!E:E,"未對應")</f>
        <v>5百事益</v>
      </c>
    </row>
    <row r="1855" spans="1:8" x14ac:dyDescent="0.4">
      <c r="A1855" t="s">
        <v>41</v>
      </c>
      <c r="B1855">
        <v>2026</v>
      </c>
      <c r="C1855">
        <v>1</v>
      </c>
      <c r="D1855" t="s">
        <v>32</v>
      </c>
      <c r="E1855" t="s">
        <v>16</v>
      </c>
      <c r="F1855">
        <v>-9319861</v>
      </c>
      <c r="G1855" s="3" t="s">
        <v>32</v>
      </c>
      <c r="H1855" t="str">
        <f>_xlfn.XLOOKUP(TRIM(D1855),對應!D:D,對應!E:E,"未對應")</f>
        <v>5百事益</v>
      </c>
    </row>
    <row r="1856" spans="1:8" x14ac:dyDescent="0.4">
      <c r="A1856" t="s">
        <v>41</v>
      </c>
      <c r="B1856">
        <v>2026</v>
      </c>
      <c r="C1856">
        <v>1</v>
      </c>
      <c r="D1856" t="s">
        <v>32</v>
      </c>
      <c r="E1856" t="s">
        <v>16</v>
      </c>
      <c r="F1856">
        <v>-25019</v>
      </c>
      <c r="G1856" s="3" t="s">
        <v>32</v>
      </c>
      <c r="H1856" t="str">
        <f>_xlfn.XLOOKUP(TRIM(D1856),對應!D:D,對應!E:E,"未對應")</f>
        <v>5百事益</v>
      </c>
    </row>
    <row r="1857" spans="1:8" x14ac:dyDescent="0.4">
      <c r="A1857" t="s">
        <v>41</v>
      </c>
      <c r="B1857">
        <v>2026</v>
      </c>
      <c r="C1857">
        <v>1</v>
      </c>
      <c r="D1857" t="s">
        <v>39</v>
      </c>
      <c r="E1857" t="s">
        <v>40</v>
      </c>
      <c r="F1857">
        <v>-288000</v>
      </c>
      <c r="G1857" s="3" t="s">
        <v>42</v>
      </c>
      <c r="H1857" t="str">
        <f>_xlfn.XLOOKUP(TRIM(D1857),對應!D:D,對應!E:E,"未對應")</f>
        <v>2技宸</v>
      </c>
    </row>
    <row r="1858" spans="1:8" x14ac:dyDescent="0.4">
      <c r="A1858" t="s">
        <v>41</v>
      </c>
      <c r="B1858">
        <v>2026</v>
      </c>
      <c r="C1858">
        <v>1</v>
      </c>
      <c r="D1858" t="s">
        <v>39</v>
      </c>
      <c r="E1858" t="s">
        <v>40</v>
      </c>
      <c r="F1858">
        <v>-349539</v>
      </c>
      <c r="G1858" s="3" t="s">
        <v>42</v>
      </c>
      <c r="H1858" t="str">
        <f>_xlfn.XLOOKUP(TRIM(D1858),對應!D:D,對應!E:E,"未對應")</f>
        <v>2技宸</v>
      </c>
    </row>
    <row r="1859" spans="1:8" x14ac:dyDescent="0.4">
      <c r="A1859" t="s">
        <v>41</v>
      </c>
      <c r="B1859">
        <v>2026</v>
      </c>
      <c r="C1859">
        <v>1</v>
      </c>
      <c r="D1859" t="s">
        <v>39</v>
      </c>
      <c r="E1859" t="s">
        <v>40</v>
      </c>
      <c r="F1859">
        <v>336829</v>
      </c>
      <c r="G1859" s="3" t="s">
        <v>42</v>
      </c>
      <c r="H1859" t="str">
        <f>_xlfn.XLOOKUP(TRIM(D1859),對應!D:D,對應!E:E,"未對應")</f>
        <v>2技宸</v>
      </c>
    </row>
    <row r="1860" spans="1:8" x14ac:dyDescent="0.4">
      <c r="A1860" t="s">
        <v>41</v>
      </c>
      <c r="B1860">
        <v>2026</v>
      </c>
      <c r="C1860">
        <v>1</v>
      </c>
      <c r="D1860" t="s">
        <v>39</v>
      </c>
      <c r="E1860" t="s">
        <v>40</v>
      </c>
      <c r="F1860">
        <v>-4800</v>
      </c>
      <c r="G1860" s="3" t="s">
        <v>42</v>
      </c>
      <c r="H1860" t="str">
        <f>_xlfn.XLOOKUP(TRIM(D1860),對應!D:D,對應!E:E,"未對應")</f>
        <v>2技宸</v>
      </c>
    </row>
    <row r="1861" spans="1:8" x14ac:dyDescent="0.4">
      <c r="A1861" t="s">
        <v>41</v>
      </c>
      <c r="B1861">
        <v>2026</v>
      </c>
      <c r="C1861">
        <v>1</v>
      </c>
      <c r="D1861" t="s">
        <v>8</v>
      </c>
      <c r="E1861" t="s">
        <v>33</v>
      </c>
      <c r="F1861">
        <v>-8612235</v>
      </c>
      <c r="G1861" s="3" t="s">
        <v>9</v>
      </c>
      <c r="H1861" t="str">
        <f>_xlfn.XLOOKUP(TRIM(D1861),對應!D:D,對應!E:E,"未對應")</f>
        <v>1網通+技鋼</v>
      </c>
    </row>
    <row r="1862" spans="1:8" x14ac:dyDescent="0.4">
      <c r="A1862" t="s">
        <v>41</v>
      </c>
      <c r="B1862">
        <v>2026</v>
      </c>
      <c r="C1862">
        <v>1</v>
      </c>
      <c r="D1862" t="s">
        <v>8</v>
      </c>
      <c r="E1862" t="s">
        <v>33</v>
      </c>
      <c r="F1862">
        <v>-5628604</v>
      </c>
      <c r="G1862" s="3" t="s">
        <v>9</v>
      </c>
      <c r="H1862" t="str">
        <f>_xlfn.XLOOKUP(TRIM(D1862),對應!D:D,對應!E:E,"未對應")</f>
        <v>1網通+技鋼</v>
      </c>
    </row>
    <row r="1863" spans="1:8" x14ac:dyDescent="0.4">
      <c r="A1863" t="s">
        <v>41</v>
      </c>
      <c r="B1863">
        <v>2026</v>
      </c>
      <c r="C1863">
        <v>1</v>
      </c>
      <c r="D1863" t="s">
        <v>8</v>
      </c>
      <c r="E1863" t="s">
        <v>33</v>
      </c>
      <c r="F1863">
        <v>-106390898</v>
      </c>
      <c r="G1863" s="3" t="s">
        <v>9</v>
      </c>
      <c r="H1863" t="str">
        <f>_xlfn.XLOOKUP(TRIM(D1863),對應!D:D,對應!E:E,"未對應")</f>
        <v>1網通+技鋼</v>
      </c>
    </row>
    <row r="1864" spans="1:8" x14ac:dyDescent="0.4">
      <c r="A1864" t="s">
        <v>41</v>
      </c>
      <c r="B1864">
        <v>2026</v>
      </c>
      <c r="C1864">
        <v>1</v>
      </c>
      <c r="D1864" t="s">
        <v>8</v>
      </c>
      <c r="E1864" t="s">
        <v>33</v>
      </c>
      <c r="F1864">
        <v>-378325053</v>
      </c>
      <c r="G1864" s="3" t="s">
        <v>9</v>
      </c>
      <c r="H1864" t="str">
        <f>_xlfn.XLOOKUP(TRIM(D1864),對應!D:D,對應!E:E,"未對應")</f>
        <v>1網通+技鋼</v>
      </c>
    </row>
    <row r="1865" spans="1:8" x14ac:dyDescent="0.4">
      <c r="A1865" t="s">
        <v>41</v>
      </c>
      <c r="B1865">
        <v>2026</v>
      </c>
      <c r="C1865">
        <v>1</v>
      </c>
      <c r="D1865" t="s">
        <v>17</v>
      </c>
      <c r="E1865" t="s">
        <v>18</v>
      </c>
      <c r="F1865">
        <v>-3836624</v>
      </c>
      <c r="G1865" s="3" t="s">
        <v>19</v>
      </c>
      <c r="H1865" t="str">
        <f>_xlfn.XLOOKUP(TRIM(D1865),對應!D:D,對應!E:E,"未對應")</f>
        <v>4筆電+盈嘉</v>
      </c>
    </row>
    <row r="1866" spans="1:8" x14ac:dyDescent="0.4">
      <c r="A1866" t="s">
        <v>41</v>
      </c>
      <c r="B1866">
        <v>2026</v>
      </c>
      <c r="C1866">
        <v>1</v>
      </c>
      <c r="D1866" t="s">
        <v>37</v>
      </c>
      <c r="E1866" t="s">
        <v>16</v>
      </c>
      <c r="F1866">
        <v>-485050</v>
      </c>
      <c r="G1866" s="3" t="s">
        <v>37</v>
      </c>
      <c r="H1866" t="str">
        <f>_xlfn.XLOOKUP(TRIM(D1866),對應!D:D,對應!E:E,"未對應")</f>
        <v>6雲城</v>
      </c>
    </row>
    <row r="1867" spans="1:8" x14ac:dyDescent="0.4">
      <c r="A1867" t="s">
        <v>41</v>
      </c>
      <c r="B1867">
        <v>2026</v>
      </c>
      <c r="C1867">
        <v>1</v>
      </c>
      <c r="D1867" t="s">
        <v>37</v>
      </c>
      <c r="E1867" t="s">
        <v>16</v>
      </c>
      <c r="F1867">
        <v>-29200</v>
      </c>
      <c r="G1867" s="3" t="s">
        <v>37</v>
      </c>
      <c r="H1867" t="str">
        <f>_xlfn.XLOOKUP(TRIM(D1867),對應!D:D,對應!E:E,"未對應")</f>
        <v>6雲城</v>
      </c>
    </row>
    <row r="1868" spans="1:8" x14ac:dyDescent="0.4">
      <c r="A1868" t="s">
        <v>41</v>
      </c>
      <c r="B1868">
        <v>2026</v>
      </c>
      <c r="C1868">
        <v>1</v>
      </c>
      <c r="D1868" t="s">
        <v>37</v>
      </c>
      <c r="E1868" t="s">
        <v>16</v>
      </c>
      <c r="F1868">
        <v>-673770</v>
      </c>
      <c r="G1868" s="3" t="s">
        <v>37</v>
      </c>
      <c r="H1868" t="str">
        <f>_xlfn.XLOOKUP(TRIM(D1868),對應!D:D,對應!E:E,"未對應")</f>
        <v>6雲城</v>
      </c>
    </row>
    <row r="1869" spans="1:8" x14ac:dyDescent="0.4">
      <c r="A1869" t="s">
        <v>41</v>
      </c>
      <c r="B1869">
        <v>2026</v>
      </c>
      <c r="C1869">
        <v>1</v>
      </c>
      <c r="D1869" t="s">
        <v>37</v>
      </c>
      <c r="E1869" t="s">
        <v>16</v>
      </c>
      <c r="F1869">
        <v>-478154</v>
      </c>
      <c r="G1869" s="3" t="s">
        <v>37</v>
      </c>
      <c r="H1869" t="str">
        <f>_xlfn.XLOOKUP(TRIM(D1869),對應!D:D,對應!E:E,"未對應")</f>
        <v>6雲城</v>
      </c>
    </row>
    <row r="1870" spans="1:8" x14ac:dyDescent="0.4">
      <c r="A1870" t="s">
        <v>45</v>
      </c>
      <c r="B1870">
        <v>2026</v>
      </c>
      <c r="C1870">
        <v>1</v>
      </c>
      <c r="D1870" t="s">
        <v>15</v>
      </c>
      <c r="E1870" t="s">
        <v>16</v>
      </c>
      <c r="F1870">
        <v>-90623</v>
      </c>
      <c r="G1870" s="3" t="s">
        <v>16</v>
      </c>
      <c r="H1870" t="str">
        <f>_xlfn.XLOOKUP(TRIM(D1870),對應!D:D,對應!E:E,"未對應")</f>
        <v>7製造</v>
      </c>
    </row>
    <row r="1871" spans="1:8" x14ac:dyDescent="0.4">
      <c r="A1871" t="s">
        <v>43</v>
      </c>
      <c r="B1871">
        <v>2026</v>
      </c>
      <c r="C1871">
        <v>1</v>
      </c>
      <c r="D1871" t="s">
        <v>32</v>
      </c>
      <c r="E1871" t="s">
        <v>16</v>
      </c>
      <c r="F1871">
        <v>10741654</v>
      </c>
      <c r="G1871" s="3" t="s">
        <v>32</v>
      </c>
      <c r="H1871" t="str">
        <f>_xlfn.XLOOKUP(TRIM(D1871),對應!D:D,對應!E:E,"未對應")</f>
        <v>5百事益</v>
      </c>
    </row>
    <row r="1872" spans="1:8" x14ac:dyDescent="0.4">
      <c r="A1872" t="s">
        <v>43</v>
      </c>
      <c r="B1872">
        <v>2026</v>
      </c>
      <c r="C1872">
        <v>1</v>
      </c>
      <c r="D1872" t="s">
        <v>32</v>
      </c>
      <c r="E1872" t="s">
        <v>16</v>
      </c>
      <c r="F1872">
        <v>655963</v>
      </c>
      <c r="G1872" s="3" t="s">
        <v>32</v>
      </c>
      <c r="H1872" t="str">
        <f>_xlfn.XLOOKUP(TRIM(D1872),對應!D:D,對應!E:E,"未對應")</f>
        <v>5百事益</v>
      </c>
    </row>
    <row r="1873" spans="1:8" x14ac:dyDescent="0.4">
      <c r="A1873" t="s">
        <v>43</v>
      </c>
      <c r="B1873">
        <v>2026</v>
      </c>
      <c r="C1873">
        <v>1</v>
      </c>
      <c r="D1873" t="s">
        <v>10</v>
      </c>
      <c r="E1873" t="s">
        <v>24</v>
      </c>
      <c r="F1873">
        <v>1184282060</v>
      </c>
      <c r="G1873" s="3" t="s">
        <v>14</v>
      </c>
      <c r="H1873" t="str">
        <f>_xlfn.XLOOKUP(TRIM(D1873),對應!D:D,對應!E:E,"未對應")</f>
        <v>3通路方案</v>
      </c>
    </row>
    <row r="1874" spans="1:8" x14ac:dyDescent="0.4">
      <c r="A1874" t="s">
        <v>43</v>
      </c>
      <c r="B1874">
        <v>2026</v>
      </c>
      <c r="C1874">
        <v>1</v>
      </c>
      <c r="D1874" t="s">
        <v>10</v>
      </c>
      <c r="E1874" t="s">
        <v>29</v>
      </c>
      <c r="F1874">
        <v>1555430</v>
      </c>
      <c r="G1874" s="3" t="s">
        <v>12</v>
      </c>
      <c r="H1874" t="str">
        <f>_xlfn.XLOOKUP(TRIM(D1874),對應!D:D,對應!E:E,"未對應")</f>
        <v>3通路方案</v>
      </c>
    </row>
    <row r="1875" spans="1:8" x14ac:dyDescent="0.4">
      <c r="A1875" t="s">
        <v>43</v>
      </c>
      <c r="B1875">
        <v>2026</v>
      </c>
      <c r="C1875">
        <v>1</v>
      </c>
      <c r="D1875" t="s">
        <v>10</v>
      </c>
      <c r="E1875" t="s">
        <v>25</v>
      </c>
      <c r="F1875">
        <v>128623</v>
      </c>
      <c r="G1875" s="3" t="s">
        <v>14</v>
      </c>
      <c r="H1875" t="str">
        <f>_xlfn.XLOOKUP(TRIM(D1875),對應!D:D,對應!E:E,"未對應")</f>
        <v>3通路方案</v>
      </c>
    </row>
    <row r="1876" spans="1:8" x14ac:dyDescent="0.4">
      <c r="A1876" t="s">
        <v>43</v>
      </c>
      <c r="B1876">
        <v>2026</v>
      </c>
      <c r="C1876">
        <v>1</v>
      </c>
      <c r="D1876" t="s">
        <v>10</v>
      </c>
      <c r="E1876" t="s">
        <v>27</v>
      </c>
      <c r="F1876">
        <v>42572216</v>
      </c>
      <c r="G1876" s="3" t="s">
        <v>28</v>
      </c>
      <c r="H1876" t="str">
        <f>_xlfn.XLOOKUP(TRIM(D1876),對應!D:D,對應!E:E,"未對應")</f>
        <v>3通路方案</v>
      </c>
    </row>
    <row r="1877" spans="1:8" x14ac:dyDescent="0.4">
      <c r="A1877" t="s">
        <v>43</v>
      </c>
      <c r="B1877">
        <v>2026</v>
      </c>
      <c r="C1877">
        <v>1</v>
      </c>
      <c r="D1877" t="s">
        <v>10</v>
      </c>
      <c r="E1877" t="s">
        <v>21</v>
      </c>
      <c r="F1877">
        <v>2865340545</v>
      </c>
      <c r="G1877" s="3" t="s">
        <v>22</v>
      </c>
      <c r="H1877" t="str">
        <f>_xlfn.XLOOKUP(TRIM(D1877),對應!D:D,對應!E:E,"未對應")</f>
        <v>3通路方案</v>
      </c>
    </row>
    <row r="1878" spans="1:8" x14ac:dyDescent="0.4">
      <c r="A1878" t="s">
        <v>43</v>
      </c>
      <c r="B1878">
        <v>2026</v>
      </c>
      <c r="C1878">
        <v>1</v>
      </c>
      <c r="D1878" t="s">
        <v>8</v>
      </c>
      <c r="E1878" t="s">
        <v>33</v>
      </c>
      <c r="F1878">
        <v>5533833</v>
      </c>
      <c r="G1878" s="3" t="s">
        <v>9</v>
      </c>
      <c r="H1878" t="str">
        <f>_xlfn.XLOOKUP(TRIM(D1878),對應!D:D,對應!E:E,"未對應")</f>
        <v>1網通+技鋼</v>
      </c>
    </row>
    <row r="1879" spans="1:8" x14ac:dyDescent="0.4">
      <c r="A1879" t="s">
        <v>43</v>
      </c>
      <c r="B1879">
        <v>2026</v>
      </c>
      <c r="C1879">
        <v>1</v>
      </c>
      <c r="D1879" t="s">
        <v>32</v>
      </c>
      <c r="E1879" t="s">
        <v>16</v>
      </c>
      <c r="F1879">
        <v>3097946</v>
      </c>
      <c r="G1879" s="3" t="s">
        <v>32</v>
      </c>
      <c r="H1879" t="str">
        <f>_xlfn.XLOOKUP(TRIM(D1879),對應!D:D,對應!E:E,"未對應")</f>
        <v>5百事益</v>
      </c>
    </row>
    <row r="1880" spans="1:8" x14ac:dyDescent="0.4">
      <c r="A1880" t="s">
        <v>43</v>
      </c>
      <c r="B1880">
        <v>2026</v>
      </c>
      <c r="C1880">
        <v>1</v>
      </c>
      <c r="D1880" t="s">
        <v>10</v>
      </c>
      <c r="E1880" t="s">
        <v>16</v>
      </c>
      <c r="F1880">
        <v>23129276</v>
      </c>
      <c r="G1880" s="3" t="s">
        <v>16</v>
      </c>
      <c r="H1880" t="str">
        <f>_xlfn.XLOOKUP(TRIM(D1880),對應!D:D,對應!E:E,"未對應")</f>
        <v>3通路方案</v>
      </c>
    </row>
    <row r="1881" spans="1:8" x14ac:dyDescent="0.4">
      <c r="A1881" t="s">
        <v>43</v>
      </c>
      <c r="B1881">
        <v>2026</v>
      </c>
      <c r="C1881">
        <v>1</v>
      </c>
      <c r="D1881" t="s">
        <v>32</v>
      </c>
      <c r="E1881" t="s">
        <v>16</v>
      </c>
      <c r="F1881">
        <v>11107890</v>
      </c>
      <c r="G1881" s="3" t="s">
        <v>32</v>
      </c>
      <c r="H1881" t="str">
        <f>_xlfn.XLOOKUP(TRIM(D1881),對應!D:D,對應!E:E,"未對應")</f>
        <v>5百事益</v>
      </c>
    </row>
    <row r="1882" spans="1:8" x14ac:dyDescent="0.4">
      <c r="A1882" t="s">
        <v>43</v>
      </c>
      <c r="B1882">
        <v>2026</v>
      </c>
      <c r="C1882">
        <v>1</v>
      </c>
      <c r="D1882" t="s">
        <v>17</v>
      </c>
      <c r="E1882" t="s">
        <v>18</v>
      </c>
      <c r="F1882">
        <v>6850659</v>
      </c>
      <c r="G1882" s="3" t="s">
        <v>19</v>
      </c>
      <c r="H1882" t="str">
        <f>_xlfn.XLOOKUP(TRIM(D1882),對應!D:D,對應!E:E,"未對應")</f>
        <v>4筆電+盈嘉</v>
      </c>
    </row>
    <row r="1883" spans="1:8" x14ac:dyDescent="0.4">
      <c r="A1883" t="s">
        <v>43</v>
      </c>
      <c r="B1883">
        <v>2026</v>
      </c>
      <c r="C1883">
        <v>1</v>
      </c>
      <c r="D1883" t="s">
        <v>10</v>
      </c>
      <c r="E1883" t="s">
        <v>24</v>
      </c>
      <c r="F1883">
        <v>265828426</v>
      </c>
      <c r="G1883" s="3" t="s">
        <v>14</v>
      </c>
      <c r="H1883" t="str">
        <f>_xlfn.XLOOKUP(TRIM(D1883),對應!D:D,對應!E:E,"未對應")</f>
        <v>3通路方案</v>
      </c>
    </row>
    <row r="1884" spans="1:8" x14ac:dyDescent="0.4">
      <c r="A1884" t="s">
        <v>43</v>
      </c>
      <c r="B1884">
        <v>2026</v>
      </c>
      <c r="C1884">
        <v>1</v>
      </c>
      <c r="D1884" t="s">
        <v>10</v>
      </c>
      <c r="E1884" t="s">
        <v>30</v>
      </c>
      <c r="F1884">
        <v>128201</v>
      </c>
      <c r="G1884" s="3" t="s">
        <v>12</v>
      </c>
      <c r="H1884" t="str">
        <f>_xlfn.XLOOKUP(TRIM(D1884),對應!D:D,對應!E:E,"未對應")</f>
        <v>3通路方案</v>
      </c>
    </row>
    <row r="1885" spans="1:8" x14ac:dyDescent="0.4">
      <c r="A1885" t="s">
        <v>43</v>
      </c>
      <c r="B1885">
        <v>2026</v>
      </c>
      <c r="C1885">
        <v>1</v>
      </c>
      <c r="D1885" t="s">
        <v>10</v>
      </c>
      <c r="E1885" t="s">
        <v>27</v>
      </c>
      <c r="F1885">
        <v>34247933</v>
      </c>
      <c r="G1885" s="3" t="s">
        <v>28</v>
      </c>
      <c r="H1885" t="str">
        <f>_xlfn.XLOOKUP(TRIM(D1885),對應!D:D,對應!E:E,"未對應")</f>
        <v>3通路方案</v>
      </c>
    </row>
    <row r="1886" spans="1:8" x14ac:dyDescent="0.4">
      <c r="A1886" t="s">
        <v>43</v>
      </c>
      <c r="B1886">
        <v>2026</v>
      </c>
      <c r="C1886">
        <v>1</v>
      </c>
      <c r="D1886" t="s">
        <v>10</v>
      </c>
      <c r="E1886" t="s">
        <v>11</v>
      </c>
      <c r="F1886">
        <v>15310220</v>
      </c>
      <c r="G1886" s="3" t="s">
        <v>12</v>
      </c>
      <c r="H1886" t="str">
        <f>_xlfn.XLOOKUP(TRIM(D1886),對應!D:D,對應!E:E,"未對應")</f>
        <v>3通路方案</v>
      </c>
    </row>
    <row r="1887" spans="1:8" x14ac:dyDescent="0.4">
      <c r="A1887" t="s">
        <v>43</v>
      </c>
      <c r="B1887">
        <v>2026</v>
      </c>
      <c r="C1887">
        <v>1</v>
      </c>
      <c r="D1887" t="s">
        <v>10</v>
      </c>
      <c r="E1887" t="s">
        <v>26</v>
      </c>
      <c r="F1887">
        <v>1069912</v>
      </c>
      <c r="G1887" s="3" t="s">
        <v>14</v>
      </c>
      <c r="H1887" t="str">
        <f>_xlfn.XLOOKUP(TRIM(D1887),對應!D:D,對應!E:E,"未對應")</f>
        <v>3通路方案</v>
      </c>
    </row>
    <row r="1888" spans="1:8" x14ac:dyDescent="0.4">
      <c r="A1888" t="s">
        <v>43</v>
      </c>
      <c r="B1888">
        <v>2026</v>
      </c>
      <c r="C1888">
        <v>1</v>
      </c>
      <c r="D1888" t="s">
        <v>10</v>
      </c>
      <c r="E1888" t="s">
        <v>21</v>
      </c>
      <c r="F1888">
        <v>2266488008</v>
      </c>
      <c r="G1888" s="3" t="s">
        <v>22</v>
      </c>
      <c r="H1888" t="str">
        <f>_xlfn.XLOOKUP(TRIM(D1888),對應!D:D,對應!E:E,"未對應")</f>
        <v>3通路方案</v>
      </c>
    </row>
    <row r="1889" spans="1:8" x14ac:dyDescent="0.4">
      <c r="A1889" t="s">
        <v>43</v>
      </c>
      <c r="B1889">
        <v>2026</v>
      </c>
      <c r="C1889">
        <v>1</v>
      </c>
      <c r="D1889" t="s">
        <v>10</v>
      </c>
      <c r="E1889" t="s">
        <v>16</v>
      </c>
      <c r="F1889">
        <v>45626759</v>
      </c>
      <c r="G1889" s="3" t="s">
        <v>16</v>
      </c>
      <c r="H1889" t="str">
        <f>_xlfn.XLOOKUP(TRIM(D1889),對應!D:D,對應!E:E,"未對應")</f>
        <v>3通路方案</v>
      </c>
    </row>
    <row r="1890" spans="1:8" x14ac:dyDescent="0.4">
      <c r="A1890" t="s">
        <v>43</v>
      </c>
      <c r="B1890">
        <v>2026</v>
      </c>
      <c r="C1890">
        <v>1</v>
      </c>
      <c r="D1890" t="s">
        <v>8</v>
      </c>
      <c r="E1890" t="s">
        <v>33</v>
      </c>
      <c r="F1890">
        <v>39127642</v>
      </c>
      <c r="G1890" s="3" t="s">
        <v>9</v>
      </c>
      <c r="H1890" t="str">
        <f>_xlfn.XLOOKUP(TRIM(D1890),對應!D:D,對應!E:E,"未對應")</f>
        <v>1網通+技鋼</v>
      </c>
    </row>
    <row r="1891" spans="1:8" x14ac:dyDescent="0.4">
      <c r="A1891" t="s">
        <v>43</v>
      </c>
      <c r="B1891">
        <v>2026</v>
      </c>
      <c r="C1891">
        <v>1</v>
      </c>
      <c r="D1891" t="s">
        <v>8</v>
      </c>
      <c r="E1891" t="s">
        <v>33</v>
      </c>
      <c r="F1891">
        <v>114544</v>
      </c>
      <c r="G1891" s="3" t="s">
        <v>9</v>
      </c>
      <c r="H1891" t="str">
        <f>_xlfn.XLOOKUP(TRIM(D1891),對應!D:D,對應!E:E,"未對應")</f>
        <v>1網通+技鋼</v>
      </c>
    </row>
    <row r="1892" spans="1:8" x14ac:dyDescent="0.4">
      <c r="A1892" t="s">
        <v>43</v>
      </c>
      <c r="B1892">
        <v>2026</v>
      </c>
      <c r="C1892">
        <v>1</v>
      </c>
      <c r="D1892" t="s">
        <v>8</v>
      </c>
      <c r="E1892" t="s">
        <v>33</v>
      </c>
      <c r="F1892">
        <v>476477973</v>
      </c>
      <c r="G1892" s="3" t="s">
        <v>9</v>
      </c>
      <c r="H1892" t="str">
        <f>_xlfn.XLOOKUP(TRIM(D1892),對應!D:D,對應!E:E,"未對應")</f>
        <v>1網通+技鋼</v>
      </c>
    </row>
    <row r="1893" spans="1:8" x14ac:dyDescent="0.4">
      <c r="A1893" t="s">
        <v>43</v>
      </c>
      <c r="B1893">
        <v>2026</v>
      </c>
      <c r="C1893">
        <v>1</v>
      </c>
      <c r="D1893" t="s">
        <v>32</v>
      </c>
      <c r="E1893" t="s">
        <v>16</v>
      </c>
      <c r="F1893">
        <v>1309383</v>
      </c>
      <c r="G1893" s="3" t="s">
        <v>32</v>
      </c>
      <c r="H1893" t="str">
        <f>_xlfn.XLOOKUP(TRIM(D1893),對應!D:D,對應!E:E,"未對應")</f>
        <v>5百事益</v>
      </c>
    </row>
    <row r="1894" spans="1:8" x14ac:dyDescent="0.4">
      <c r="A1894" t="s">
        <v>43</v>
      </c>
      <c r="B1894">
        <v>2026</v>
      </c>
      <c r="C1894">
        <v>1</v>
      </c>
      <c r="D1894" t="s">
        <v>17</v>
      </c>
      <c r="E1894" t="s">
        <v>18</v>
      </c>
      <c r="F1894">
        <v>223077</v>
      </c>
      <c r="G1894" s="3" t="s">
        <v>19</v>
      </c>
      <c r="H1894" t="str">
        <f>_xlfn.XLOOKUP(TRIM(D1894),對應!D:D,對應!E:E,"未對應")</f>
        <v>4筆電+盈嘉</v>
      </c>
    </row>
    <row r="1895" spans="1:8" x14ac:dyDescent="0.4">
      <c r="A1895" t="s">
        <v>31</v>
      </c>
      <c r="B1895">
        <v>2025</v>
      </c>
      <c r="C1895">
        <v>8</v>
      </c>
      <c r="D1895" t="s">
        <v>8</v>
      </c>
      <c r="E1895" t="s">
        <v>33</v>
      </c>
      <c r="F1895">
        <v>-3199477</v>
      </c>
      <c r="G1895" s="3" t="s">
        <v>9</v>
      </c>
      <c r="H1895" t="str">
        <f>_xlfn.XLOOKUP(TRIM(D1895),對應!D:D,對應!E:E,"未對應")</f>
        <v>1網通+技鋼</v>
      </c>
    </row>
    <row r="1896" spans="1:8" x14ac:dyDescent="0.4">
      <c r="A1896" t="s">
        <v>31</v>
      </c>
      <c r="B1896">
        <v>2025</v>
      </c>
      <c r="C1896">
        <v>8</v>
      </c>
      <c r="D1896" t="s">
        <v>32</v>
      </c>
      <c r="E1896" t="s">
        <v>16</v>
      </c>
      <c r="F1896">
        <v>-2689651</v>
      </c>
      <c r="G1896" s="3" t="s">
        <v>32</v>
      </c>
      <c r="H1896" t="str">
        <f>_xlfn.XLOOKUP(TRIM(D1896),對應!D:D,對應!E:E,"未對應")</f>
        <v>5百事益</v>
      </c>
    </row>
    <row r="1897" spans="1:8" x14ac:dyDescent="0.4">
      <c r="A1897" t="s">
        <v>31</v>
      </c>
      <c r="B1897">
        <v>2025</v>
      </c>
      <c r="C1897">
        <v>8</v>
      </c>
      <c r="D1897" t="s">
        <v>32</v>
      </c>
      <c r="E1897" t="s">
        <v>16</v>
      </c>
      <c r="F1897">
        <v>-6409996</v>
      </c>
      <c r="G1897" s="3" t="s">
        <v>32</v>
      </c>
      <c r="H1897" t="str">
        <f>_xlfn.XLOOKUP(TRIM(D1897),對應!D:D,對應!E:E,"未對應")</f>
        <v>5百事益</v>
      </c>
    </row>
    <row r="1898" spans="1:8" x14ac:dyDescent="0.4">
      <c r="A1898" t="s">
        <v>31</v>
      </c>
      <c r="B1898">
        <v>2025</v>
      </c>
      <c r="C1898">
        <v>8</v>
      </c>
      <c r="D1898" t="s">
        <v>32</v>
      </c>
      <c r="E1898" t="s">
        <v>16</v>
      </c>
      <c r="F1898">
        <v>-38715</v>
      </c>
      <c r="G1898" s="3" t="s">
        <v>32</v>
      </c>
      <c r="H1898" t="str">
        <f>_xlfn.XLOOKUP(TRIM(D1898),對應!D:D,對應!E:E,"未對應")</f>
        <v>5百事益</v>
      </c>
    </row>
    <row r="1899" spans="1:8" x14ac:dyDescent="0.4">
      <c r="A1899" t="s">
        <v>31</v>
      </c>
      <c r="B1899">
        <v>2025</v>
      </c>
      <c r="C1899">
        <v>8</v>
      </c>
      <c r="D1899" t="s">
        <v>8</v>
      </c>
      <c r="E1899" t="s">
        <v>33</v>
      </c>
      <c r="F1899">
        <v>-1417929</v>
      </c>
      <c r="G1899" s="3" t="s">
        <v>9</v>
      </c>
      <c r="H1899" t="str">
        <f>_xlfn.XLOOKUP(TRIM(D1899),對應!D:D,對應!E:E,"未對應")</f>
        <v>1網通+技鋼</v>
      </c>
    </row>
    <row r="1900" spans="1:8" x14ac:dyDescent="0.4">
      <c r="A1900" t="s">
        <v>31</v>
      </c>
      <c r="B1900">
        <v>2025</v>
      </c>
      <c r="C1900">
        <v>8</v>
      </c>
      <c r="D1900" t="s">
        <v>17</v>
      </c>
      <c r="E1900" t="s">
        <v>18</v>
      </c>
      <c r="F1900">
        <v>-6231392</v>
      </c>
      <c r="G1900" s="3" t="s">
        <v>19</v>
      </c>
      <c r="H1900" t="str">
        <f>_xlfn.XLOOKUP(TRIM(D1900),對應!D:D,對應!E:E,"未對應")</f>
        <v>4筆電+盈嘉</v>
      </c>
    </row>
    <row r="1901" spans="1:8" x14ac:dyDescent="0.4">
      <c r="A1901" t="s">
        <v>31</v>
      </c>
      <c r="B1901">
        <v>2025</v>
      </c>
      <c r="C1901">
        <v>8</v>
      </c>
      <c r="D1901" t="s">
        <v>10</v>
      </c>
      <c r="E1901" t="s">
        <v>24</v>
      </c>
      <c r="F1901">
        <v>-13141389</v>
      </c>
      <c r="G1901" s="3" t="s">
        <v>14</v>
      </c>
      <c r="H1901" t="str">
        <f>_xlfn.XLOOKUP(TRIM(D1901),對應!D:D,對應!E:E,"未對應")</f>
        <v>3通路方案</v>
      </c>
    </row>
    <row r="1902" spans="1:8" x14ac:dyDescent="0.4">
      <c r="A1902" t="s">
        <v>31</v>
      </c>
      <c r="B1902">
        <v>2025</v>
      </c>
      <c r="C1902">
        <v>8</v>
      </c>
      <c r="D1902" t="s">
        <v>10</v>
      </c>
      <c r="E1902" t="s">
        <v>30</v>
      </c>
      <c r="F1902">
        <v>-103016</v>
      </c>
      <c r="G1902" s="3" t="s">
        <v>12</v>
      </c>
      <c r="H1902" t="str">
        <f>_xlfn.XLOOKUP(TRIM(D1902),對應!D:D,對應!E:E,"未對應")</f>
        <v>3通路方案</v>
      </c>
    </row>
    <row r="1903" spans="1:8" x14ac:dyDescent="0.4">
      <c r="A1903" t="s">
        <v>31</v>
      </c>
      <c r="B1903">
        <v>2025</v>
      </c>
      <c r="C1903">
        <v>8</v>
      </c>
      <c r="D1903" t="s">
        <v>10</v>
      </c>
      <c r="E1903" t="s">
        <v>25</v>
      </c>
      <c r="F1903">
        <v>-36053</v>
      </c>
      <c r="G1903" s="3" t="s">
        <v>14</v>
      </c>
      <c r="H1903" t="str">
        <f>_xlfn.XLOOKUP(TRIM(D1903),對應!D:D,對應!E:E,"未對應")</f>
        <v>3通路方案</v>
      </c>
    </row>
    <row r="1904" spans="1:8" x14ac:dyDescent="0.4">
      <c r="A1904" t="s">
        <v>31</v>
      </c>
      <c r="B1904">
        <v>2025</v>
      </c>
      <c r="C1904">
        <v>8</v>
      </c>
      <c r="D1904" t="s">
        <v>10</v>
      </c>
      <c r="E1904" t="s">
        <v>27</v>
      </c>
      <c r="F1904">
        <v>-2576390</v>
      </c>
      <c r="G1904" s="3" t="s">
        <v>28</v>
      </c>
      <c r="H1904" t="str">
        <f>_xlfn.XLOOKUP(TRIM(D1904),對應!D:D,對應!E:E,"未對應")</f>
        <v>3通路方案</v>
      </c>
    </row>
    <row r="1905" spans="1:8" x14ac:dyDescent="0.4">
      <c r="A1905" t="s">
        <v>31</v>
      </c>
      <c r="B1905">
        <v>2025</v>
      </c>
      <c r="C1905">
        <v>8</v>
      </c>
      <c r="D1905" t="s">
        <v>10</v>
      </c>
      <c r="E1905" t="s">
        <v>16</v>
      </c>
      <c r="F1905">
        <v>-419533</v>
      </c>
      <c r="G1905" s="3" t="s">
        <v>16</v>
      </c>
      <c r="H1905" t="str">
        <f>_xlfn.XLOOKUP(TRIM(D1905),對應!D:D,對應!E:E,"未對應")</f>
        <v>3通路方案</v>
      </c>
    </row>
    <row r="1906" spans="1:8" x14ac:dyDescent="0.4">
      <c r="A1906" t="s">
        <v>31</v>
      </c>
      <c r="B1906">
        <v>2025</v>
      </c>
      <c r="C1906">
        <v>8</v>
      </c>
      <c r="D1906" t="s">
        <v>10</v>
      </c>
      <c r="E1906" t="s">
        <v>11</v>
      </c>
      <c r="F1906">
        <v>-1193320</v>
      </c>
      <c r="G1906" s="3" t="s">
        <v>12</v>
      </c>
      <c r="H1906" t="str">
        <f>_xlfn.XLOOKUP(TRIM(D1906),對應!D:D,對應!E:E,"未對應")</f>
        <v>3通路方案</v>
      </c>
    </row>
    <row r="1907" spans="1:8" x14ac:dyDescent="0.4">
      <c r="A1907" t="s">
        <v>31</v>
      </c>
      <c r="B1907">
        <v>2025</v>
      </c>
      <c r="C1907">
        <v>8</v>
      </c>
      <c r="D1907" t="s">
        <v>10</v>
      </c>
      <c r="E1907" t="s">
        <v>13</v>
      </c>
      <c r="F1907">
        <v>-490</v>
      </c>
      <c r="G1907" s="3" t="s">
        <v>14</v>
      </c>
      <c r="H1907" t="str">
        <f>_xlfn.XLOOKUP(TRIM(D1907),對應!D:D,對應!E:E,"未對應")</f>
        <v>3通路方案</v>
      </c>
    </row>
    <row r="1908" spans="1:8" x14ac:dyDescent="0.4">
      <c r="A1908" t="s">
        <v>31</v>
      </c>
      <c r="B1908">
        <v>2025</v>
      </c>
      <c r="C1908">
        <v>8</v>
      </c>
      <c r="D1908" t="s">
        <v>10</v>
      </c>
      <c r="E1908" t="s">
        <v>26</v>
      </c>
      <c r="F1908">
        <v>-62342</v>
      </c>
      <c r="G1908" s="3" t="s">
        <v>14</v>
      </c>
      <c r="H1908" t="str">
        <f>_xlfn.XLOOKUP(TRIM(D1908),對應!D:D,對應!E:E,"未對應")</f>
        <v>3通路方案</v>
      </c>
    </row>
    <row r="1909" spans="1:8" x14ac:dyDescent="0.4">
      <c r="A1909" t="s">
        <v>31</v>
      </c>
      <c r="B1909">
        <v>2025</v>
      </c>
      <c r="C1909">
        <v>8</v>
      </c>
      <c r="D1909" t="s">
        <v>10</v>
      </c>
      <c r="E1909" t="s">
        <v>21</v>
      </c>
      <c r="F1909">
        <v>-12949832</v>
      </c>
      <c r="G1909" s="3" t="s">
        <v>22</v>
      </c>
      <c r="H1909" t="str">
        <f>_xlfn.XLOOKUP(TRIM(D1909),對應!D:D,對應!E:E,"未對應")</f>
        <v>3通路方案</v>
      </c>
    </row>
    <row r="1910" spans="1:8" x14ac:dyDescent="0.4">
      <c r="A1910" t="s">
        <v>31</v>
      </c>
      <c r="B1910">
        <v>2025</v>
      </c>
      <c r="C1910">
        <v>8</v>
      </c>
      <c r="D1910" t="s">
        <v>10</v>
      </c>
      <c r="E1910" t="s">
        <v>16</v>
      </c>
      <c r="F1910">
        <v>-758423</v>
      </c>
      <c r="G1910" s="3" t="s">
        <v>16</v>
      </c>
      <c r="H1910" t="str">
        <f>_xlfn.XLOOKUP(TRIM(D1910),對應!D:D,對應!E:E,"未對應")</f>
        <v>3通路方案</v>
      </c>
    </row>
    <row r="1911" spans="1:8" x14ac:dyDescent="0.4">
      <c r="A1911" t="s">
        <v>31</v>
      </c>
      <c r="B1911">
        <v>2025</v>
      </c>
      <c r="C1911">
        <v>8</v>
      </c>
      <c r="D1911" t="s">
        <v>32</v>
      </c>
      <c r="E1911" t="s">
        <v>16</v>
      </c>
      <c r="F1911">
        <v>-30605</v>
      </c>
      <c r="G1911" s="3" t="s">
        <v>32</v>
      </c>
      <c r="H1911" t="str">
        <f>_xlfn.XLOOKUP(TRIM(D1911),對應!D:D,對應!E:E,"未對應")</f>
        <v>5百事益</v>
      </c>
    </row>
    <row r="1912" spans="1:8" x14ac:dyDescent="0.4">
      <c r="A1912" t="s">
        <v>31</v>
      </c>
      <c r="B1912">
        <v>2025</v>
      </c>
      <c r="C1912">
        <v>8</v>
      </c>
      <c r="D1912" t="s">
        <v>32</v>
      </c>
      <c r="E1912" t="s">
        <v>16</v>
      </c>
      <c r="F1912">
        <v>-3062704</v>
      </c>
      <c r="G1912" s="3" t="s">
        <v>32</v>
      </c>
      <c r="H1912" t="str">
        <f>_xlfn.XLOOKUP(TRIM(D1912),對應!D:D,對應!E:E,"未對應")</f>
        <v>5百事益</v>
      </c>
    </row>
    <row r="1913" spans="1:8" x14ac:dyDescent="0.4">
      <c r="A1913" t="s">
        <v>31</v>
      </c>
      <c r="B1913">
        <v>2025</v>
      </c>
      <c r="C1913">
        <v>8</v>
      </c>
      <c r="D1913" t="s">
        <v>8</v>
      </c>
      <c r="E1913" t="s">
        <v>33</v>
      </c>
      <c r="F1913">
        <v>-199300</v>
      </c>
      <c r="G1913" s="3" t="s">
        <v>9</v>
      </c>
      <c r="H1913" t="str">
        <f>_xlfn.XLOOKUP(TRIM(D1913),對應!D:D,對應!E:E,"未對應")</f>
        <v>1網通+技鋼</v>
      </c>
    </row>
    <row r="1914" spans="1:8" x14ac:dyDescent="0.4">
      <c r="A1914" t="s">
        <v>31</v>
      </c>
      <c r="B1914">
        <v>2025</v>
      </c>
      <c r="C1914">
        <v>8</v>
      </c>
      <c r="D1914" t="s">
        <v>8</v>
      </c>
      <c r="E1914" t="s">
        <v>33</v>
      </c>
      <c r="F1914">
        <v>-12686354</v>
      </c>
      <c r="G1914" s="3" t="s">
        <v>9</v>
      </c>
      <c r="H1914" t="str">
        <f>_xlfn.XLOOKUP(TRIM(D1914),對應!D:D,對應!E:E,"未對應")</f>
        <v>1網通+技鋼</v>
      </c>
    </row>
    <row r="1915" spans="1:8" x14ac:dyDescent="0.4">
      <c r="A1915" t="s">
        <v>31</v>
      </c>
      <c r="B1915">
        <v>2025</v>
      </c>
      <c r="C1915">
        <v>8</v>
      </c>
      <c r="D1915" t="s">
        <v>32</v>
      </c>
      <c r="E1915" t="s">
        <v>16</v>
      </c>
      <c r="F1915">
        <v>-14910560</v>
      </c>
      <c r="G1915" s="3" t="s">
        <v>32</v>
      </c>
      <c r="H1915" t="str">
        <f>_xlfn.XLOOKUP(TRIM(D1915),對應!D:D,對應!E:E,"未對應")</f>
        <v>5百事益</v>
      </c>
    </row>
    <row r="1916" spans="1:8" x14ac:dyDescent="0.4">
      <c r="A1916" t="s">
        <v>31</v>
      </c>
      <c r="B1916">
        <v>2025</v>
      </c>
      <c r="C1916">
        <v>8</v>
      </c>
      <c r="D1916" t="s">
        <v>32</v>
      </c>
      <c r="E1916" t="s">
        <v>16</v>
      </c>
      <c r="F1916">
        <v>-66029</v>
      </c>
      <c r="G1916" s="3" t="s">
        <v>32</v>
      </c>
      <c r="H1916" t="str">
        <f>_xlfn.XLOOKUP(TRIM(D1916),對應!D:D,對應!E:E,"未對應")</f>
        <v>5百事益</v>
      </c>
    </row>
    <row r="1917" spans="1:8" x14ac:dyDescent="0.4">
      <c r="A1917" t="s">
        <v>31</v>
      </c>
      <c r="B1917">
        <v>2025</v>
      </c>
      <c r="C1917">
        <v>8</v>
      </c>
      <c r="D1917" t="s">
        <v>32</v>
      </c>
      <c r="E1917" t="s">
        <v>16</v>
      </c>
      <c r="F1917">
        <v>-334096</v>
      </c>
      <c r="G1917" s="3" t="s">
        <v>32</v>
      </c>
      <c r="H1917" t="str">
        <f>_xlfn.XLOOKUP(TRIM(D1917),對應!D:D,對應!E:E,"未對應")</f>
        <v>5百事益</v>
      </c>
    </row>
    <row r="1918" spans="1:8" x14ac:dyDescent="0.4">
      <c r="A1918" t="s">
        <v>36</v>
      </c>
      <c r="B1918">
        <v>2025</v>
      </c>
      <c r="C1918">
        <v>8</v>
      </c>
      <c r="D1918" t="s">
        <v>32</v>
      </c>
      <c r="E1918" t="s">
        <v>16</v>
      </c>
      <c r="F1918">
        <v>87058086</v>
      </c>
      <c r="G1918" s="3" t="s">
        <v>32</v>
      </c>
      <c r="H1918" t="str">
        <f>_xlfn.XLOOKUP(TRIM(D1918),對應!D:D,對應!E:E,"未對應")</f>
        <v>5百事益</v>
      </c>
    </row>
    <row r="1919" spans="1:8" x14ac:dyDescent="0.4">
      <c r="A1919" t="s">
        <v>36</v>
      </c>
      <c r="B1919">
        <v>2025</v>
      </c>
      <c r="C1919">
        <v>8</v>
      </c>
      <c r="D1919" t="s">
        <v>39</v>
      </c>
      <c r="E1919" t="s">
        <v>40</v>
      </c>
      <c r="F1919">
        <v>182990716</v>
      </c>
      <c r="G1919" s="3" t="s">
        <v>42</v>
      </c>
      <c r="H1919" t="str">
        <f>_xlfn.XLOOKUP(TRIM(D1919),對應!D:D,對應!E:E,"未對應")</f>
        <v>2技宸</v>
      </c>
    </row>
    <row r="1920" spans="1:8" x14ac:dyDescent="0.4">
      <c r="A1920" t="s">
        <v>36</v>
      </c>
      <c r="B1920">
        <v>2025</v>
      </c>
      <c r="C1920">
        <v>8</v>
      </c>
      <c r="D1920" t="s">
        <v>8</v>
      </c>
      <c r="E1920" t="s">
        <v>33</v>
      </c>
      <c r="F1920">
        <v>13590347531</v>
      </c>
      <c r="G1920" s="3" t="s">
        <v>9</v>
      </c>
      <c r="H1920" t="str">
        <f>_xlfn.XLOOKUP(TRIM(D1920),對應!D:D,對應!E:E,"未對應")</f>
        <v>1網通+技鋼</v>
      </c>
    </row>
    <row r="1921" spans="1:8" x14ac:dyDescent="0.4">
      <c r="A1921" t="s">
        <v>36</v>
      </c>
      <c r="B1921">
        <v>2025</v>
      </c>
      <c r="C1921">
        <v>8</v>
      </c>
      <c r="D1921" t="s">
        <v>17</v>
      </c>
      <c r="E1921" t="s">
        <v>18</v>
      </c>
      <c r="F1921">
        <v>328742021</v>
      </c>
      <c r="G1921" s="3" t="s">
        <v>19</v>
      </c>
      <c r="H1921" t="str">
        <f>_xlfn.XLOOKUP(TRIM(D1921),對應!D:D,對應!E:E,"未對應")</f>
        <v>4筆電+盈嘉</v>
      </c>
    </row>
    <row r="1922" spans="1:8" x14ac:dyDescent="0.4">
      <c r="A1922" t="s">
        <v>36</v>
      </c>
      <c r="B1922">
        <v>2025</v>
      </c>
      <c r="C1922">
        <v>8</v>
      </c>
      <c r="D1922" t="s">
        <v>15</v>
      </c>
      <c r="E1922" t="s">
        <v>16</v>
      </c>
      <c r="F1922">
        <v>3113383</v>
      </c>
      <c r="G1922" s="3" t="s">
        <v>16</v>
      </c>
      <c r="H1922" t="str">
        <f>_xlfn.XLOOKUP(TRIM(D1922),對應!D:D,對應!E:E,"未對應")</f>
        <v>7製造</v>
      </c>
    </row>
    <row r="1923" spans="1:8" x14ac:dyDescent="0.4">
      <c r="A1923" t="s">
        <v>36</v>
      </c>
      <c r="B1923">
        <v>2025</v>
      </c>
      <c r="C1923">
        <v>8</v>
      </c>
      <c r="D1923" t="s">
        <v>37</v>
      </c>
      <c r="E1923" t="s">
        <v>16</v>
      </c>
      <c r="F1923">
        <v>14627107</v>
      </c>
      <c r="G1923" s="3" t="s">
        <v>37</v>
      </c>
      <c r="H1923" t="str">
        <f>_xlfn.XLOOKUP(TRIM(D1923),對應!D:D,對應!E:E,"未對應")</f>
        <v>6雲城</v>
      </c>
    </row>
    <row r="1924" spans="1:8" x14ac:dyDescent="0.4">
      <c r="A1924" t="s">
        <v>36</v>
      </c>
      <c r="B1924">
        <v>2025</v>
      </c>
      <c r="C1924">
        <v>8</v>
      </c>
      <c r="D1924" t="s">
        <v>15</v>
      </c>
      <c r="E1924" t="s">
        <v>16</v>
      </c>
      <c r="F1924">
        <v>229000</v>
      </c>
      <c r="G1924" s="3" t="s">
        <v>16</v>
      </c>
      <c r="H1924" t="str">
        <f>_xlfn.XLOOKUP(TRIM(D1924),對應!D:D,對應!E:E,"未對應")</f>
        <v>7製造</v>
      </c>
    </row>
    <row r="1925" spans="1:8" x14ac:dyDescent="0.4">
      <c r="A1925" t="s">
        <v>41</v>
      </c>
      <c r="B1925">
        <v>2025</v>
      </c>
      <c r="C1925">
        <v>8</v>
      </c>
      <c r="D1925" t="s">
        <v>32</v>
      </c>
      <c r="E1925" t="s">
        <v>16</v>
      </c>
      <c r="F1925">
        <v>-62454711</v>
      </c>
      <c r="G1925" s="3" t="s">
        <v>32</v>
      </c>
      <c r="H1925" t="str">
        <f>_xlfn.XLOOKUP(TRIM(D1925),對應!D:D,對應!E:E,"未對應")</f>
        <v>5百事益</v>
      </c>
    </row>
    <row r="1926" spans="1:8" x14ac:dyDescent="0.4">
      <c r="A1926" t="s">
        <v>41</v>
      </c>
      <c r="B1926">
        <v>2025</v>
      </c>
      <c r="C1926">
        <v>8</v>
      </c>
      <c r="D1926" t="s">
        <v>32</v>
      </c>
      <c r="E1926" t="s">
        <v>16</v>
      </c>
      <c r="F1926">
        <v>-325426</v>
      </c>
      <c r="G1926" s="3" t="s">
        <v>32</v>
      </c>
      <c r="H1926" t="str">
        <f>_xlfn.XLOOKUP(TRIM(D1926),對應!D:D,對應!E:E,"未對應")</f>
        <v>5百事益</v>
      </c>
    </row>
    <row r="1927" spans="1:8" x14ac:dyDescent="0.4">
      <c r="A1927" t="s">
        <v>41</v>
      </c>
      <c r="B1927">
        <v>2025</v>
      </c>
      <c r="C1927">
        <v>8</v>
      </c>
      <c r="D1927" t="s">
        <v>32</v>
      </c>
      <c r="E1927" t="s">
        <v>16</v>
      </c>
      <c r="F1927">
        <v>-12259831</v>
      </c>
      <c r="G1927" s="3" t="s">
        <v>32</v>
      </c>
      <c r="H1927" t="str">
        <f>_xlfn.XLOOKUP(TRIM(D1927),對應!D:D,對應!E:E,"未對應")</f>
        <v>5百事益</v>
      </c>
    </row>
    <row r="1928" spans="1:8" x14ac:dyDescent="0.4">
      <c r="A1928" t="s">
        <v>41</v>
      </c>
      <c r="B1928">
        <v>2025</v>
      </c>
      <c r="C1928">
        <v>8</v>
      </c>
      <c r="D1928" t="s">
        <v>32</v>
      </c>
      <c r="E1928" t="s">
        <v>16</v>
      </c>
      <c r="F1928">
        <v>-60562</v>
      </c>
      <c r="G1928" s="3" t="s">
        <v>32</v>
      </c>
      <c r="H1928" t="str">
        <f>_xlfn.XLOOKUP(TRIM(D1928),對應!D:D,對應!E:E,"未對應")</f>
        <v>5百事益</v>
      </c>
    </row>
    <row r="1929" spans="1:8" x14ac:dyDescent="0.4">
      <c r="A1929" t="s">
        <v>41</v>
      </c>
      <c r="B1929">
        <v>2025</v>
      </c>
      <c r="C1929">
        <v>8</v>
      </c>
      <c r="D1929" t="s">
        <v>39</v>
      </c>
      <c r="E1929" t="s">
        <v>40</v>
      </c>
      <c r="F1929">
        <v>-292726</v>
      </c>
      <c r="G1929" s="3" t="s">
        <v>42</v>
      </c>
      <c r="H1929" t="str">
        <f>_xlfn.XLOOKUP(TRIM(D1929),對應!D:D,對應!E:E,"未對應")</f>
        <v>2技宸</v>
      </c>
    </row>
    <row r="1930" spans="1:8" x14ac:dyDescent="0.4">
      <c r="A1930" t="s">
        <v>31</v>
      </c>
      <c r="B1930">
        <v>2026</v>
      </c>
      <c r="C1930">
        <v>2</v>
      </c>
      <c r="D1930" t="s">
        <v>10</v>
      </c>
      <c r="E1930" t="s">
        <v>16</v>
      </c>
      <c r="F1930">
        <v>-195931</v>
      </c>
      <c r="G1930" s="3" t="s">
        <v>16</v>
      </c>
      <c r="H1930" t="str">
        <f>_xlfn.XLOOKUP(TRIM(D1930),對應!D:D,對應!E:E,"未對應")</f>
        <v>3通路方案</v>
      </c>
    </row>
    <row r="1931" spans="1:8" x14ac:dyDescent="0.4">
      <c r="A1931" t="s">
        <v>31</v>
      </c>
      <c r="B1931">
        <v>2026</v>
      </c>
      <c r="C1931">
        <v>2</v>
      </c>
      <c r="D1931" t="s">
        <v>10</v>
      </c>
      <c r="E1931" t="s">
        <v>16</v>
      </c>
      <c r="F1931">
        <v>-6870214</v>
      </c>
      <c r="G1931" s="3" t="s">
        <v>16</v>
      </c>
      <c r="H1931" t="str">
        <f>_xlfn.XLOOKUP(TRIM(D1931),對應!D:D,對應!E:E,"未對應")</f>
        <v>3通路方案</v>
      </c>
    </row>
    <row r="1932" spans="1:8" x14ac:dyDescent="0.4">
      <c r="A1932" t="s">
        <v>31</v>
      </c>
      <c r="B1932">
        <v>2026</v>
      </c>
      <c r="C1932">
        <v>2</v>
      </c>
      <c r="D1932" t="s">
        <v>32</v>
      </c>
      <c r="E1932" t="s">
        <v>16</v>
      </c>
      <c r="F1932">
        <v>-2818226</v>
      </c>
      <c r="G1932" s="3" t="s">
        <v>32</v>
      </c>
      <c r="H1932" t="str">
        <f>_xlfn.XLOOKUP(TRIM(D1932),對應!D:D,對應!E:E,"未對應")</f>
        <v>5百事益</v>
      </c>
    </row>
    <row r="1933" spans="1:8" x14ac:dyDescent="0.4">
      <c r="A1933" t="s">
        <v>31</v>
      </c>
      <c r="B1933">
        <v>2026</v>
      </c>
      <c r="C1933">
        <v>2</v>
      </c>
      <c r="D1933" t="s">
        <v>8</v>
      </c>
      <c r="E1933" t="s">
        <v>33</v>
      </c>
      <c r="F1933">
        <v>-8878424</v>
      </c>
      <c r="G1933" s="3" t="s">
        <v>9</v>
      </c>
      <c r="H1933" t="str">
        <f>_xlfn.XLOOKUP(TRIM(D1933),對應!D:D,對應!E:E,"未對應")</f>
        <v>1網通+技鋼</v>
      </c>
    </row>
    <row r="1934" spans="1:8" x14ac:dyDescent="0.4">
      <c r="A1934" t="s">
        <v>31</v>
      </c>
      <c r="B1934">
        <v>2026</v>
      </c>
      <c r="C1934">
        <v>2</v>
      </c>
      <c r="D1934" t="s">
        <v>8</v>
      </c>
      <c r="E1934" t="s">
        <v>33</v>
      </c>
      <c r="F1934">
        <v>-55673813</v>
      </c>
      <c r="G1934" s="3" t="s">
        <v>9</v>
      </c>
      <c r="H1934" t="str">
        <f>_xlfn.XLOOKUP(TRIM(D1934),對應!D:D,對應!E:E,"未對應")</f>
        <v>1網通+技鋼</v>
      </c>
    </row>
    <row r="1935" spans="1:8" x14ac:dyDescent="0.4">
      <c r="A1935" t="s">
        <v>31</v>
      </c>
      <c r="B1935">
        <v>2026</v>
      </c>
      <c r="C1935">
        <v>2</v>
      </c>
      <c r="D1935" t="s">
        <v>32</v>
      </c>
      <c r="E1935" t="s">
        <v>16</v>
      </c>
      <c r="F1935">
        <v>-9464660</v>
      </c>
      <c r="G1935" s="3" t="s">
        <v>32</v>
      </c>
      <c r="H1935" t="str">
        <f>_xlfn.XLOOKUP(TRIM(D1935),對應!D:D,對應!E:E,"未對應")</f>
        <v>5百事益</v>
      </c>
    </row>
    <row r="1936" spans="1:8" x14ac:dyDescent="0.4">
      <c r="A1936" t="s">
        <v>31</v>
      </c>
      <c r="B1936">
        <v>2026</v>
      </c>
      <c r="C1936">
        <v>2</v>
      </c>
      <c r="D1936" t="s">
        <v>32</v>
      </c>
      <c r="E1936" t="s">
        <v>16</v>
      </c>
      <c r="F1936">
        <v>-56252</v>
      </c>
      <c r="G1936" s="3" t="s">
        <v>32</v>
      </c>
      <c r="H1936" t="str">
        <f>_xlfn.XLOOKUP(TRIM(D1936),對應!D:D,對應!E:E,"未對應")</f>
        <v>5百事益</v>
      </c>
    </row>
    <row r="1937" spans="1:8" x14ac:dyDescent="0.4">
      <c r="A1937" t="s">
        <v>31</v>
      </c>
      <c r="B1937">
        <v>2026</v>
      </c>
      <c r="C1937">
        <v>2</v>
      </c>
      <c r="D1937" t="s">
        <v>10</v>
      </c>
      <c r="E1937" t="s">
        <v>27</v>
      </c>
      <c r="F1937">
        <v>-10000</v>
      </c>
      <c r="G1937" s="3" t="s">
        <v>28</v>
      </c>
      <c r="H1937" t="str">
        <f>_xlfn.XLOOKUP(TRIM(D1937),對應!D:D,對應!E:E,"未對應")</f>
        <v>3通路方案</v>
      </c>
    </row>
    <row r="1938" spans="1:8" x14ac:dyDescent="0.4">
      <c r="A1938" t="s">
        <v>31</v>
      </c>
      <c r="B1938">
        <v>2026</v>
      </c>
      <c r="C1938">
        <v>2</v>
      </c>
      <c r="D1938" t="s">
        <v>10</v>
      </c>
      <c r="E1938" t="s">
        <v>21</v>
      </c>
      <c r="F1938">
        <v>-2151319</v>
      </c>
      <c r="G1938" s="3" t="s">
        <v>22</v>
      </c>
      <c r="H1938" t="str">
        <f>_xlfn.XLOOKUP(TRIM(D1938),對應!D:D,對應!E:E,"未對應")</f>
        <v>3通路方案</v>
      </c>
    </row>
    <row r="1939" spans="1:8" x14ac:dyDescent="0.4">
      <c r="A1939" t="s">
        <v>31</v>
      </c>
      <c r="B1939">
        <v>2026</v>
      </c>
      <c r="C1939">
        <v>2</v>
      </c>
      <c r="D1939" t="s">
        <v>10</v>
      </c>
      <c r="E1939" t="s">
        <v>16</v>
      </c>
      <c r="F1939">
        <v>-1839559</v>
      </c>
      <c r="G1939" s="3" t="s">
        <v>16</v>
      </c>
      <c r="H1939" t="str">
        <f>_xlfn.XLOOKUP(TRIM(D1939),對應!D:D,對應!E:E,"未對應")</f>
        <v>3通路方案</v>
      </c>
    </row>
    <row r="1940" spans="1:8" x14ac:dyDescent="0.4">
      <c r="A1940" t="s">
        <v>31</v>
      </c>
      <c r="B1940">
        <v>2026</v>
      </c>
      <c r="C1940">
        <v>2</v>
      </c>
      <c r="D1940" t="s">
        <v>8</v>
      </c>
      <c r="E1940" t="s">
        <v>33</v>
      </c>
      <c r="F1940">
        <v>-179044</v>
      </c>
      <c r="G1940" s="3" t="s">
        <v>9</v>
      </c>
      <c r="H1940" t="str">
        <f>_xlfn.XLOOKUP(TRIM(D1940),對應!D:D,對應!E:E,"未對應")</f>
        <v>1網通+技鋼</v>
      </c>
    </row>
    <row r="1941" spans="1:8" x14ac:dyDescent="0.4">
      <c r="A1941" t="s">
        <v>31</v>
      </c>
      <c r="B1941">
        <v>2026</v>
      </c>
      <c r="C1941">
        <v>2</v>
      </c>
      <c r="D1941" t="s">
        <v>17</v>
      </c>
      <c r="E1941" t="s">
        <v>18</v>
      </c>
      <c r="F1941">
        <v>-361824</v>
      </c>
      <c r="G1941" s="3" t="s">
        <v>19</v>
      </c>
      <c r="H1941" t="str">
        <f>_xlfn.XLOOKUP(TRIM(D1941),對應!D:D,對應!E:E,"未對應")</f>
        <v>4筆電+盈嘉</v>
      </c>
    </row>
    <row r="1942" spans="1:8" x14ac:dyDescent="0.4">
      <c r="A1942" t="s">
        <v>31</v>
      </c>
      <c r="B1942">
        <v>2026</v>
      </c>
      <c r="C1942">
        <v>2</v>
      </c>
      <c r="D1942" t="s">
        <v>10</v>
      </c>
      <c r="E1942" t="s">
        <v>24</v>
      </c>
      <c r="F1942">
        <v>-1453328</v>
      </c>
      <c r="G1942" s="3" t="s">
        <v>14</v>
      </c>
      <c r="H1942" t="str">
        <f>_xlfn.XLOOKUP(TRIM(D1942),對應!D:D,對應!E:E,"未對應")</f>
        <v>3通路方案</v>
      </c>
    </row>
    <row r="1943" spans="1:8" x14ac:dyDescent="0.4">
      <c r="A1943" t="s">
        <v>31</v>
      </c>
      <c r="B1943">
        <v>2026</v>
      </c>
      <c r="C1943">
        <v>2</v>
      </c>
      <c r="D1943" t="s">
        <v>10</v>
      </c>
      <c r="E1943" t="s">
        <v>30</v>
      </c>
      <c r="F1943">
        <v>-10219</v>
      </c>
      <c r="G1943" s="3" t="s">
        <v>12</v>
      </c>
      <c r="H1943" t="str">
        <f>_xlfn.XLOOKUP(TRIM(D1943),對應!D:D,對應!E:E,"未對應")</f>
        <v>3通路方案</v>
      </c>
    </row>
    <row r="1944" spans="1:8" x14ac:dyDescent="0.4">
      <c r="A1944" t="s">
        <v>31</v>
      </c>
      <c r="B1944">
        <v>2026</v>
      </c>
      <c r="C1944">
        <v>2</v>
      </c>
      <c r="D1944" t="s">
        <v>10</v>
      </c>
      <c r="E1944" t="s">
        <v>25</v>
      </c>
      <c r="F1944">
        <v>-1250</v>
      </c>
      <c r="G1944" s="3" t="s">
        <v>14</v>
      </c>
      <c r="H1944" t="str">
        <f>_xlfn.XLOOKUP(TRIM(D1944),對應!D:D,對應!E:E,"未對應")</f>
        <v>3通路方案</v>
      </c>
    </row>
    <row r="1945" spans="1:8" x14ac:dyDescent="0.4">
      <c r="A1945" t="s">
        <v>31</v>
      </c>
      <c r="B1945">
        <v>2026</v>
      </c>
      <c r="C1945">
        <v>2</v>
      </c>
      <c r="D1945" t="s">
        <v>10</v>
      </c>
      <c r="E1945" t="s">
        <v>27</v>
      </c>
      <c r="F1945">
        <v>-357949</v>
      </c>
      <c r="G1945" s="3" t="s">
        <v>28</v>
      </c>
      <c r="H1945" t="str">
        <f>_xlfn.XLOOKUP(TRIM(D1945),對應!D:D,對應!E:E,"未對應")</f>
        <v>3通路方案</v>
      </c>
    </row>
    <row r="1946" spans="1:8" x14ac:dyDescent="0.4">
      <c r="A1946" t="s">
        <v>31</v>
      </c>
      <c r="B1946">
        <v>2026</v>
      </c>
      <c r="C1946">
        <v>2</v>
      </c>
      <c r="D1946" t="s">
        <v>10</v>
      </c>
      <c r="E1946" t="s">
        <v>11</v>
      </c>
      <c r="F1946">
        <v>-198319</v>
      </c>
      <c r="G1946" s="3" t="s">
        <v>12</v>
      </c>
      <c r="H1946" t="str">
        <f>_xlfn.XLOOKUP(TRIM(D1946),對應!D:D,對應!E:E,"未對應")</f>
        <v>3通路方案</v>
      </c>
    </row>
    <row r="1947" spans="1:8" x14ac:dyDescent="0.4">
      <c r="A1947" t="s">
        <v>31</v>
      </c>
      <c r="B1947">
        <v>2026</v>
      </c>
      <c r="C1947">
        <v>2</v>
      </c>
      <c r="D1947" t="s">
        <v>10</v>
      </c>
      <c r="E1947" t="s">
        <v>26</v>
      </c>
      <c r="F1947">
        <v>-21626</v>
      </c>
      <c r="G1947" s="3" t="s">
        <v>14</v>
      </c>
      <c r="H1947" t="str">
        <f>_xlfn.XLOOKUP(TRIM(D1947),對應!D:D,對應!E:E,"未對應")</f>
        <v>3通路方案</v>
      </c>
    </row>
    <row r="1948" spans="1:8" x14ac:dyDescent="0.4">
      <c r="A1948" t="s">
        <v>31</v>
      </c>
      <c r="B1948">
        <v>2026</v>
      </c>
      <c r="C1948">
        <v>2</v>
      </c>
      <c r="D1948" t="s">
        <v>10</v>
      </c>
      <c r="E1948" t="s">
        <v>21</v>
      </c>
      <c r="F1948">
        <v>-1944218</v>
      </c>
      <c r="G1948" s="3" t="s">
        <v>22</v>
      </c>
      <c r="H1948" t="str">
        <f>_xlfn.XLOOKUP(TRIM(D1948),對應!D:D,對應!E:E,"未對應")</f>
        <v>3通路方案</v>
      </c>
    </row>
    <row r="1949" spans="1:8" x14ac:dyDescent="0.4">
      <c r="A1949" t="s">
        <v>31</v>
      </c>
      <c r="B1949">
        <v>2026</v>
      </c>
      <c r="C1949">
        <v>2</v>
      </c>
      <c r="D1949" t="s">
        <v>10</v>
      </c>
      <c r="E1949" t="s">
        <v>16</v>
      </c>
      <c r="F1949">
        <v>-61314</v>
      </c>
      <c r="G1949" s="3" t="s">
        <v>16</v>
      </c>
      <c r="H1949" t="str">
        <f>_xlfn.XLOOKUP(TRIM(D1949),對應!D:D,對應!E:E,"未對應")</f>
        <v>3通路方案</v>
      </c>
    </row>
    <row r="1950" spans="1:8" x14ac:dyDescent="0.4">
      <c r="A1950" t="s">
        <v>31</v>
      </c>
      <c r="B1950">
        <v>2026</v>
      </c>
      <c r="C1950">
        <v>2</v>
      </c>
      <c r="D1950" t="s">
        <v>32</v>
      </c>
      <c r="E1950" t="s">
        <v>16</v>
      </c>
      <c r="F1950">
        <v>-31251</v>
      </c>
      <c r="G1950" s="3" t="s">
        <v>32</v>
      </c>
      <c r="H1950" t="str">
        <f>_xlfn.XLOOKUP(TRIM(D1950),對應!D:D,對應!E:E,"未對應")</f>
        <v>5百事益</v>
      </c>
    </row>
    <row r="1951" spans="1:8" x14ac:dyDescent="0.4">
      <c r="A1951" t="s">
        <v>43</v>
      </c>
      <c r="B1951">
        <v>2026</v>
      </c>
      <c r="C1951">
        <v>2</v>
      </c>
      <c r="D1951" t="s">
        <v>10</v>
      </c>
      <c r="E1951" t="s">
        <v>24</v>
      </c>
      <c r="F1951">
        <v>1453328</v>
      </c>
      <c r="G1951" s="3" t="s">
        <v>14</v>
      </c>
      <c r="H1951" t="str">
        <f>_xlfn.XLOOKUP(TRIM(D1951),對應!D:D,對應!E:E,"未對應")</f>
        <v>3通路方案</v>
      </c>
    </row>
    <row r="1952" spans="1:8" x14ac:dyDescent="0.4">
      <c r="A1952" t="s">
        <v>43</v>
      </c>
      <c r="B1952">
        <v>2026</v>
      </c>
      <c r="C1952">
        <v>2</v>
      </c>
      <c r="D1952" t="s">
        <v>10</v>
      </c>
      <c r="E1952" t="s">
        <v>30</v>
      </c>
      <c r="F1952">
        <v>10219</v>
      </c>
      <c r="G1952" s="3" t="s">
        <v>12</v>
      </c>
      <c r="H1952" t="str">
        <f>_xlfn.XLOOKUP(TRIM(D1952),對應!D:D,對應!E:E,"未對應")</f>
        <v>3通路方案</v>
      </c>
    </row>
    <row r="1953" spans="1:8" x14ac:dyDescent="0.4">
      <c r="A1953" t="s">
        <v>43</v>
      </c>
      <c r="B1953">
        <v>2026</v>
      </c>
      <c r="C1953">
        <v>2</v>
      </c>
      <c r="D1953" t="s">
        <v>10</v>
      </c>
      <c r="E1953" t="s">
        <v>25</v>
      </c>
      <c r="F1953">
        <v>1250</v>
      </c>
      <c r="G1953" s="3" t="s">
        <v>14</v>
      </c>
      <c r="H1953" t="str">
        <f>_xlfn.XLOOKUP(TRIM(D1953),對應!D:D,對應!E:E,"未對應")</f>
        <v>3通路方案</v>
      </c>
    </row>
    <row r="1954" spans="1:8" x14ac:dyDescent="0.4">
      <c r="A1954" t="s">
        <v>43</v>
      </c>
      <c r="B1954">
        <v>2026</v>
      </c>
      <c r="C1954">
        <v>2</v>
      </c>
      <c r="D1954" t="s">
        <v>10</v>
      </c>
      <c r="E1954" t="s">
        <v>27</v>
      </c>
      <c r="F1954">
        <v>357949</v>
      </c>
      <c r="G1954" s="3" t="s">
        <v>28</v>
      </c>
      <c r="H1954" t="str">
        <f>_xlfn.XLOOKUP(TRIM(D1954),對應!D:D,對應!E:E,"未對應")</f>
        <v>3通路方案</v>
      </c>
    </row>
    <row r="1955" spans="1:8" x14ac:dyDescent="0.4">
      <c r="A1955" t="s">
        <v>43</v>
      </c>
      <c r="B1955">
        <v>2026</v>
      </c>
      <c r="C1955">
        <v>2</v>
      </c>
      <c r="D1955" t="s">
        <v>10</v>
      </c>
      <c r="E1955" t="s">
        <v>11</v>
      </c>
      <c r="F1955">
        <v>198319</v>
      </c>
      <c r="G1955" s="3" t="s">
        <v>12</v>
      </c>
      <c r="H1955" t="str">
        <f>_xlfn.XLOOKUP(TRIM(D1955),對應!D:D,對應!E:E,"未對應")</f>
        <v>3通路方案</v>
      </c>
    </row>
    <row r="1956" spans="1:8" x14ac:dyDescent="0.4">
      <c r="A1956" t="s">
        <v>43</v>
      </c>
      <c r="B1956">
        <v>2026</v>
      </c>
      <c r="C1956">
        <v>2</v>
      </c>
      <c r="D1956" t="s">
        <v>10</v>
      </c>
      <c r="E1956" t="s">
        <v>26</v>
      </c>
      <c r="F1956">
        <v>21626</v>
      </c>
      <c r="G1956" s="3" t="s">
        <v>14</v>
      </c>
      <c r="H1956" t="str">
        <f>_xlfn.XLOOKUP(TRIM(D1956),對應!D:D,對應!E:E,"未對應")</f>
        <v>3通路方案</v>
      </c>
    </row>
    <row r="1957" spans="1:8" x14ac:dyDescent="0.4">
      <c r="A1957" t="s">
        <v>43</v>
      </c>
      <c r="B1957">
        <v>2026</v>
      </c>
      <c r="C1957">
        <v>2</v>
      </c>
      <c r="D1957" t="s">
        <v>10</v>
      </c>
      <c r="E1957" t="s">
        <v>21</v>
      </c>
      <c r="F1957">
        <v>1944218</v>
      </c>
      <c r="G1957" s="3" t="s">
        <v>22</v>
      </c>
      <c r="H1957" t="str">
        <f>_xlfn.XLOOKUP(TRIM(D1957),對應!D:D,對應!E:E,"未對應")</f>
        <v>3通路方案</v>
      </c>
    </row>
    <row r="1958" spans="1:8" x14ac:dyDescent="0.4">
      <c r="A1958" t="s">
        <v>43</v>
      </c>
      <c r="B1958">
        <v>2026</v>
      </c>
      <c r="C1958">
        <v>2</v>
      </c>
      <c r="D1958" t="s">
        <v>10</v>
      </c>
      <c r="E1958" t="s">
        <v>16</v>
      </c>
      <c r="F1958">
        <v>61314</v>
      </c>
      <c r="G1958" s="3" t="s">
        <v>16</v>
      </c>
      <c r="H1958" t="str">
        <f>_xlfn.XLOOKUP(TRIM(D1958),對應!D:D,對應!E:E,"未對應")</f>
        <v>3通路方案</v>
      </c>
    </row>
    <row r="1959" spans="1:8" x14ac:dyDescent="0.4">
      <c r="A1959" t="s">
        <v>43</v>
      </c>
      <c r="B1959">
        <v>2026</v>
      </c>
      <c r="C1959">
        <v>2</v>
      </c>
      <c r="D1959" t="s">
        <v>8</v>
      </c>
      <c r="E1959" t="s">
        <v>33</v>
      </c>
      <c r="F1959">
        <v>4073193</v>
      </c>
      <c r="G1959" s="3" t="s">
        <v>9</v>
      </c>
      <c r="H1959" t="str">
        <f>_xlfn.XLOOKUP(TRIM(D1959),對應!D:D,對應!E:E,"未對應")</f>
        <v>1網通+技鋼</v>
      </c>
    </row>
    <row r="1960" spans="1:8" x14ac:dyDescent="0.4">
      <c r="A1960" t="s">
        <v>43</v>
      </c>
      <c r="B1960">
        <v>2026</v>
      </c>
      <c r="C1960">
        <v>1</v>
      </c>
      <c r="D1960" t="s">
        <v>10</v>
      </c>
      <c r="E1960" t="s">
        <v>24</v>
      </c>
      <c r="F1960">
        <v>840793</v>
      </c>
      <c r="G1960" s="3" t="s">
        <v>14</v>
      </c>
      <c r="H1960" t="str">
        <f>_xlfn.XLOOKUP(TRIM(D1960),對應!D:D,對應!E:E,"未對應")</f>
        <v>3通路方案</v>
      </c>
    </row>
    <row r="1961" spans="1:8" x14ac:dyDescent="0.4">
      <c r="A1961" t="s">
        <v>43</v>
      </c>
      <c r="B1961">
        <v>2026</v>
      </c>
      <c r="C1961">
        <v>1</v>
      </c>
      <c r="D1961" t="s">
        <v>10</v>
      </c>
      <c r="E1961" t="s">
        <v>30</v>
      </c>
      <c r="F1961">
        <v>21430</v>
      </c>
      <c r="G1961" s="3" t="s">
        <v>12</v>
      </c>
      <c r="H1961" t="str">
        <f>_xlfn.XLOOKUP(TRIM(D1961),對應!D:D,對應!E:E,"未對應")</f>
        <v>3通路方案</v>
      </c>
    </row>
    <row r="1962" spans="1:8" x14ac:dyDescent="0.4">
      <c r="A1962" t="s">
        <v>43</v>
      </c>
      <c r="B1962">
        <v>2026</v>
      </c>
      <c r="C1962">
        <v>1</v>
      </c>
      <c r="D1962" t="s">
        <v>10</v>
      </c>
      <c r="E1962" t="s">
        <v>25</v>
      </c>
      <c r="F1962">
        <v>1290</v>
      </c>
      <c r="G1962" s="3" t="s">
        <v>14</v>
      </c>
      <c r="H1962" t="str">
        <f>_xlfn.XLOOKUP(TRIM(D1962),對應!D:D,對應!E:E,"未對應")</f>
        <v>3通路方案</v>
      </c>
    </row>
    <row r="1963" spans="1:8" x14ac:dyDescent="0.4">
      <c r="A1963" t="s">
        <v>43</v>
      </c>
      <c r="B1963">
        <v>2026</v>
      </c>
      <c r="C1963">
        <v>1</v>
      </c>
      <c r="D1963" t="s">
        <v>10</v>
      </c>
      <c r="E1963" t="s">
        <v>27</v>
      </c>
      <c r="F1963">
        <v>557487</v>
      </c>
      <c r="G1963" s="3" t="s">
        <v>28</v>
      </c>
      <c r="H1963" t="str">
        <f>_xlfn.XLOOKUP(TRIM(D1963),對應!D:D,對應!E:E,"未對應")</f>
        <v>3通路方案</v>
      </c>
    </row>
    <row r="1964" spans="1:8" x14ac:dyDescent="0.4">
      <c r="A1964" t="s">
        <v>43</v>
      </c>
      <c r="B1964">
        <v>2026</v>
      </c>
      <c r="C1964">
        <v>1</v>
      </c>
      <c r="D1964" t="s">
        <v>10</v>
      </c>
      <c r="E1964" t="s">
        <v>16</v>
      </c>
      <c r="F1964">
        <v>68348</v>
      </c>
      <c r="G1964" s="3" t="s">
        <v>16</v>
      </c>
      <c r="H1964" t="str">
        <f>_xlfn.XLOOKUP(TRIM(D1964),對應!D:D,對應!E:E,"未對應")</f>
        <v>3通路方案</v>
      </c>
    </row>
    <row r="1965" spans="1:8" x14ac:dyDescent="0.4">
      <c r="A1965" t="s">
        <v>43</v>
      </c>
      <c r="B1965">
        <v>2026</v>
      </c>
      <c r="C1965">
        <v>1</v>
      </c>
      <c r="D1965" t="s">
        <v>10</v>
      </c>
      <c r="E1965" t="s">
        <v>11</v>
      </c>
      <c r="F1965">
        <v>379126</v>
      </c>
      <c r="G1965" s="3" t="s">
        <v>12</v>
      </c>
      <c r="H1965" t="str">
        <f>_xlfn.XLOOKUP(TRIM(D1965),對應!D:D,對應!E:E,"未對應")</f>
        <v>3通路方案</v>
      </c>
    </row>
    <row r="1966" spans="1:8" x14ac:dyDescent="0.4">
      <c r="A1966" t="s">
        <v>43</v>
      </c>
      <c r="B1966">
        <v>2026</v>
      </c>
      <c r="C1966">
        <v>1</v>
      </c>
      <c r="D1966" t="s">
        <v>10</v>
      </c>
      <c r="E1966" t="s">
        <v>26</v>
      </c>
      <c r="F1966">
        <v>32255</v>
      </c>
      <c r="G1966" s="3" t="s">
        <v>14</v>
      </c>
      <c r="H1966" t="str">
        <f>_xlfn.XLOOKUP(TRIM(D1966),對應!D:D,對應!E:E,"未對應")</f>
        <v>3通路方案</v>
      </c>
    </row>
    <row r="1967" spans="1:8" x14ac:dyDescent="0.4">
      <c r="A1967" t="s">
        <v>43</v>
      </c>
      <c r="B1967">
        <v>2026</v>
      </c>
      <c r="C1967">
        <v>1</v>
      </c>
      <c r="D1967" t="s">
        <v>10</v>
      </c>
      <c r="E1967" t="s">
        <v>21</v>
      </c>
      <c r="F1967">
        <v>2112384</v>
      </c>
      <c r="G1967" s="3" t="s">
        <v>22</v>
      </c>
      <c r="H1967" t="str">
        <f>_xlfn.XLOOKUP(TRIM(D1967),對應!D:D,對應!E:E,"未對應")</f>
        <v>3通路方案</v>
      </c>
    </row>
    <row r="1968" spans="1:8" x14ac:dyDescent="0.4">
      <c r="A1968" t="s">
        <v>43</v>
      </c>
      <c r="B1968">
        <v>2026</v>
      </c>
      <c r="C1968">
        <v>1</v>
      </c>
      <c r="D1968" t="s">
        <v>10</v>
      </c>
      <c r="E1968" t="s">
        <v>16</v>
      </c>
      <c r="F1968">
        <v>112813</v>
      </c>
      <c r="G1968" s="3" t="s">
        <v>16</v>
      </c>
      <c r="H1968" t="str">
        <f>_xlfn.XLOOKUP(TRIM(D1968),對應!D:D,對應!E:E,"未對應")</f>
        <v>3通路方案</v>
      </c>
    </row>
    <row r="1969" spans="1:8" x14ac:dyDescent="0.4">
      <c r="A1969" t="s">
        <v>43</v>
      </c>
      <c r="B1969">
        <v>2026</v>
      </c>
      <c r="C1969">
        <v>1</v>
      </c>
      <c r="D1969" t="s">
        <v>8</v>
      </c>
      <c r="E1969" t="s">
        <v>33</v>
      </c>
      <c r="F1969">
        <v>2451326</v>
      </c>
      <c r="G1969" s="3" t="s">
        <v>9</v>
      </c>
      <c r="H1969" t="str">
        <f>_xlfn.XLOOKUP(TRIM(D1969),對應!D:D,對應!E:E,"未對應")</f>
        <v>1網通+技鋼</v>
      </c>
    </row>
    <row r="1970" spans="1:8" x14ac:dyDescent="0.4">
      <c r="A1970" t="s">
        <v>31</v>
      </c>
      <c r="B1970">
        <v>2026</v>
      </c>
      <c r="C1970">
        <v>2</v>
      </c>
      <c r="D1970" t="s">
        <v>32</v>
      </c>
      <c r="E1970" t="s">
        <v>16</v>
      </c>
      <c r="F1970">
        <v>-1281</v>
      </c>
      <c r="G1970" s="3" t="s">
        <v>32</v>
      </c>
      <c r="H1970" t="str">
        <f>_xlfn.XLOOKUP(TRIM(D1970),對應!D:D,對應!E:E,"未對應")</f>
        <v>5百事益</v>
      </c>
    </row>
    <row r="1971" spans="1:8" x14ac:dyDescent="0.4">
      <c r="A1971" t="s">
        <v>31</v>
      </c>
      <c r="B1971">
        <v>2026</v>
      </c>
      <c r="C1971">
        <v>2</v>
      </c>
      <c r="D1971" t="s">
        <v>8</v>
      </c>
      <c r="E1971" t="s">
        <v>33</v>
      </c>
      <c r="F1971">
        <v>-4073193</v>
      </c>
      <c r="G1971" s="3" t="s">
        <v>9</v>
      </c>
      <c r="H1971" t="str">
        <f>_xlfn.XLOOKUP(TRIM(D1971),對應!D:D,對應!E:E,"未對應")</f>
        <v>1網通+技鋼</v>
      </c>
    </row>
    <row r="1972" spans="1:8" x14ac:dyDescent="0.4">
      <c r="A1972" t="s">
        <v>31</v>
      </c>
      <c r="B1972">
        <v>2026</v>
      </c>
      <c r="C1972">
        <v>2</v>
      </c>
      <c r="D1972" t="s">
        <v>32</v>
      </c>
      <c r="E1972" t="s">
        <v>16</v>
      </c>
      <c r="F1972">
        <v>-14183534</v>
      </c>
      <c r="G1972" s="3" t="s">
        <v>32</v>
      </c>
      <c r="H1972" t="str">
        <f>_xlfn.XLOOKUP(TRIM(D1972),對應!D:D,對應!E:E,"未對應")</f>
        <v>5百事益</v>
      </c>
    </row>
    <row r="1973" spans="1:8" x14ac:dyDescent="0.4">
      <c r="A1973" t="s">
        <v>31</v>
      </c>
      <c r="B1973">
        <v>2026</v>
      </c>
      <c r="C1973">
        <v>2</v>
      </c>
      <c r="D1973" t="s">
        <v>32</v>
      </c>
      <c r="E1973" t="s">
        <v>16</v>
      </c>
      <c r="F1973">
        <v>-17195</v>
      </c>
      <c r="G1973" s="3" t="s">
        <v>32</v>
      </c>
      <c r="H1973" t="str">
        <f>_xlfn.XLOOKUP(TRIM(D1973),對應!D:D,對應!E:E,"未對應")</f>
        <v>5百事益</v>
      </c>
    </row>
    <row r="1974" spans="1:8" x14ac:dyDescent="0.4">
      <c r="A1974" t="s">
        <v>31</v>
      </c>
      <c r="B1974">
        <v>2026</v>
      </c>
      <c r="C1974">
        <v>2</v>
      </c>
      <c r="D1974" t="s">
        <v>32</v>
      </c>
      <c r="E1974" t="s">
        <v>16</v>
      </c>
      <c r="F1974">
        <v>-117480</v>
      </c>
      <c r="G1974" s="3" t="s">
        <v>32</v>
      </c>
      <c r="H1974" t="str">
        <f>_xlfn.XLOOKUP(TRIM(D1974),對應!D:D,對應!E:E,"未對應")</f>
        <v>5百事益</v>
      </c>
    </row>
    <row r="1975" spans="1:8" x14ac:dyDescent="0.4">
      <c r="A1975" t="s">
        <v>36</v>
      </c>
      <c r="B1975">
        <v>2026</v>
      </c>
      <c r="C1975">
        <v>2</v>
      </c>
      <c r="D1975" t="s">
        <v>32</v>
      </c>
      <c r="E1975" t="s">
        <v>16</v>
      </c>
      <c r="F1975">
        <v>62488223</v>
      </c>
      <c r="G1975" s="3" t="s">
        <v>32</v>
      </c>
      <c r="H1975" t="str">
        <f>_xlfn.XLOOKUP(TRIM(D1975),對應!D:D,對應!E:E,"未對應")</f>
        <v>5百事益</v>
      </c>
    </row>
    <row r="1976" spans="1:8" x14ac:dyDescent="0.4">
      <c r="A1976" t="s">
        <v>36</v>
      </c>
      <c r="B1976">
        <v>2026</v>
      </c>
      <c r="C1976">
        <v>2</v>
      </c>
      <c r="D1976" t="s">
        <v>39</v>
      </c>
      <c r="E1976" t="s">
        <v>40</v>
      </c>
      <c r="F1976">
        <v>152447996</v>
      </c>
      <c r="G1976" s="3" t="s">
        <v>42</v>
      </c>
      <c r="H1976" t="str">
        <f>_xlfn.XLOOKUP(TRIM(D1976),對應!D:D,對應!E:E,"未對應")</f>
        <v>2技宸</v>
      </c>
    </row>
    <row r="1977" spans="1:8" x14ac:dyDescent="0.4">
      <c r="A1977" t="s">
        <v>36</v>
      </c>
      <c r="B1977">
        <v>2026</v>
      </c>
      <c r="C1977">
        <v>2</v>
      </c>
      <c r="D1977" t="s">
        <v>8</v>
      </c>
      <c r="E1977" t="s">
        <v>33</v>
      </c>
      <c r="F1977">
        <v>24680427054</v>
      </c>
      <c r="G1977" s="3" t="s">
        <v>9</v>
      </c>
      <c r="H1977" t="str">
        <f>_xlfn.XLOOKUP(TRIM(D1977),對應!D:D,對應!E:E,"未對應")</f>
        <v>1網通+技鋼</v>
      </c>
    </row>
    <row r="1978" spans="1:8" x14ac:dyDescent="0.4">
      <c r="A1978" t="s">
        <v>36</v>
      </c>
      <c r="B1978">
        <v>2026</v>
      </c>
      <c r="C1978">
        <v>2</v>
      </c>
      <c r="D1978" t="s">
        <v>17</v>
      </c>
      <c r="E1978" t="s">
        <v>18</v>
      </c>
      <c r="F1978">
        <v>53826891</v>
      </c>
      <c r="G1978" s="3" t="s">
        <v>19</v>
      </c>
      <c r="H1978" t="str">
        <f>_xlfn.XLOOKUP(TRIM(D1978),對應!D:D,對應!E:E,"未對應")</f>
        <v>4筆電+盈嘉</v>
      </c>
    </row>
    <row r="1979" spans="1:8" x14ac:dyDescent="0.4">
      <c r="A1979" t="s">
        <v>36</v>
      </c>
      <c r="B1979">
        <v>2026</v>
      </c>
      <c r="C1979">
        <v>2</v>
      </c>
      <c r="D1979" t="s">
        <v>15</v>
      </c>
      <c r="E1979" t="s">
        <v>16</v>
      </c>
      <c r="F1979">
        <v>3663087</v>
      </c>
      <c r="G1979" s="3" t="s">
        <v>16</v>
      </c>
      <c r="H1979" t="str">
        <f>_xlfn.XLOOKUP(TRIM(D1979),對應!D:D,對應!E:E,"未對應")</f>
        <v>7製造</v>
      </c>
    </row>
    <row r="1980" spans="1:8" x14ac:dyDescent="0.4">
      <c r="A1980" t="s">
        <v>36</v>
      </c>
      <c r="B1980">
        <v>2026</v>
      </c>
      <c r="C1980">
        <v>2</v>
      </c>
      <c r="D1980" t="s">
        <v>37</v>
      </c>
      <c r="E1980" t="s">
        <v>16</v>
      </c>
      <c r="F1980">
        <v>44268147</v>
      </c>
      <c r="G1980" s="3" t="s">
        <v>37</v>
      </c>
      <c r="H1980" t="str">
        <f>_xlfn.XLOOKUP(TRIM(D1980),對應!D:D,對應!E:E,"未對應")</f>
        <v>6雲城</v>
      </c>
    </row>
    <row r="1981" spans="1:8" x14ac:dyDescent="0.4">
      <c r="A1981" t="s">
        <v>36</v>
      </c>
      <c r="B1981">
        <v>2026</v>
      </c>
      <c r="C1981">
        <v>2</v>
      </c>
      <c r="D1981" t="s">
        <v>15</v>
      </c>
      <c r="E1981" t="s">
        <v>16</v>
      </c>
      <c r="F1981">
        <v>220000</v>
      </c>
      <c r="G1981" s="3" t="s">
        <v>16</v>
      </c>
      <c r="H1981" t="str">
        <f>_xlfn.XLOOKUP(TRIM(D1981),對應!D:D,對應!E:E,"未對應")</f>
        <v>7製造</v>
      </c>
    </row>
    <row r="1982" spans="1:8" x14ac:dyDescent="0.4">
      <c r="A1982" t="s">
        <v>41</v>
      </c>
      <c r="B1982">
        <v>2026</v>
      </c>
      <c r="C1982">
        <v>2</v>
      </c>
      <c r="D1982" t="s">
        <v>32</v>
      </c>
      <c r="E1982" t="s">
        <v>16</v>
      </c>
      <c r="F1982">
        <v>-40967650</v>
      </c>
      <c r="G1982" s="3" t="s">
        <v>32</v>
      </c>
      <c r="H1982" t="str">
        <f>_xlfn.XLOOKUP(TRIM(D1982),對應!D:D,對應!E:E,"未對應")</f>
        <v>5百事益</v>
      </c>
    </row>
    <row r="1983" spans="1:8" x14ac:dyDescent="0.4">
      <c r="A1983" t="s">
        <v>41</v>
      </c>
      <c r="B1983">
        <v>2026</v>
      </c>
      <c r="C1983">
        <v>2</v>
      </c>
      <c r="D1983" t="s">
        <v>32</v>
      </c>
      <c r="E1983" t="s">
        <v>16</v>
      </c>
      <c r="F1983">
        <v>-651064</v>
      </c>
      <c r="G1983" s="3" t="s">
        <v>32</v>
      </c>
      <c r="H1983" t="str">
        <f>_xlfn.XLOOKUP(TRIM(D1983),對應!D:D,對應!E:E,"未對應")</f>
        <v>5百事益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36D9-6DB6-4F34-B4CC-76E94F54BD36}">
  <dimension ref="A1:L18"/>
  <sheetViews>
    <sheetView workbookViewId="0">
      <selection activeCell="D1" sqref="D1:E10"/>
    </sheetView>
  </sheetViews>
  <sheetFormatPr defaultRowHeight="17" x14ac:dyDescent="0.4"/>
  <cols>
    <col min="1" max="1" width="15.08984375" bestFit="1" customWidth="1"/>
    <col min="2" max="2" width="16.6328125" customWidth="1"/>
    <col min="6" max="6" width="24.81640625" bestFit="1" customWidth="1"/>
    <col min="7" max="7" width="24" bestFit="1" customWidth="1"/>
  </cols>
  <sheetData>
    <row r="1" spans="1:12" x14ac:dyDescent="0.4">
      <c r="D1" t="s">
        <v>3</v>
      </c>
      <c r="E1" t="s">
        <v>53</v>
      </c>
    </row>
    <row r="2" spans="1:12" x14ac:dyDescent="0.4">
      <c r="D2" t="s">
        <v>8</v>
      </c>
      <c r="E2" t="s">
        <v>54</v>
      </c>
      <c r="L2" s="2" t="s">
        <v>48</v>
      </c>
    </row>
    <row r="3" spans="1:12" x14ac:dyDescent="0.4">
      <c r="D3" t="s">
        <v>39</v>
      </c>
      <c r="E3" t="s">
        <v>55</v>
      </c>
    </row>
    <row r="4" spans="1:12" x14ac:dyDescent="0.4">
      <c r="A4" s="1" t="s">
        <v>35</v>
      </c>
      <c r="B4" s="1" t="s">
        <v>49</v>
      </c>
      <c r="D4" t="s">
        <v>10</v>
      </c>
      <c r="E4" t="s">
        <v>56</v>
      </c>
    </row>
    <row r="5" spans="1:12" x14ac:dyDescent="0.4">
      <c r="A5" s="1" t="s">
        <v>21</v>
      </c>
      <c r="B5" s="1" t="s">
        <v>49</v>
      </c>
      <c r="D5" t="s">
        <v>57</v>
      </c>
      <c r="E5" t="s">
        <v>58</v>
      </c>
    </row>
    <row r="6" spans="1:12" x14ac:dyDescent="0.4">
      <c r="A6" s="1" t="s">
        <v>27</v>
      </c>
      <c r="B6" s="1" t="s">
        <v>28</v>
      </c>
      <c r="D6" t="s">
        <v>17</v>
      </c>
      <c r="E6" t="s">
        <v>58</v>
      </c>
    </row>
    <row r="7" spans="1:12" x14ac:dyDescent="0.4">
      <c r="A7" s="1" t="s">
        <v>18</v>
      </c>
      <c r="B7" s="1" t="s">
        <v>50</v>
      </c>
      <c r="D7" t="s">
        <v>32</v>
      </c>
      <c r="E7" t="s">
        <v>59</v>
      </c>
    </row>
    <row r="8" spans="1:12" x14ac:dyDescent="0.4">
      <c r="A8" s="1" t="s">
        <v>29</v>
      </c>
      <c r="B8" s="1" t="s">
        <v>51</v>
      </c>
      <c r="D8" t="s">
        <v>37</v>
      </c>
      <c r="E8" t="s">
        <v>60</v>
      </c>
    </row>
    <row r="9" spans="1:12" x14ac:dyDescent="0.4">
      <c r="A9" s="1" t="s">
        <v>30</v>
      </c>
      <c r="B9" s="1" t="s">
        <v>51</v>
      </c>
      <c r="D9" t="s">
        <v>61</v>
      </c>
      <c r="E9" t="s">
        <v>62</v>
      </c>
    </row>
    <row r="10" spans="1:12" x14ac:dyDescent="0.4">
      <c r="A10" s="1" t="s">
        <v>20</v>
      </c>
      <c r="B10" s="1" t="s">
        <v>51</v>
      </c>
      <c r="D10" t="s">
        <v>15</v>
      </c>
      <c r="E10" t="s">
        <v>62</v>
      </c>
    </row>
    <row r="11" spans="1:12" x14ac:dyDescent="0.4">
      <c r="A11" s="1" t="s">
        <v>38</v>
      </c>
      <c r="B11" s="1" t="s">
        <v>51</v>
      </c>
    </row>
    <row r="12" spans="1:12" x14ac:dyDescent="0.4">
      <c r="A12" s="1" t="s">
        <v>11</v>
      </c>
      <c r="B12" s="1" t="s">
        <v>51</v>
      </c>
    </row>
    <row r="13" spans="1:12" x14ac:dyDescent="0.4">
      <c r="A13" s="1" t="s">
        <v>47</v>
      </c>
      <c r="B13" s="1" t="s">
        <v>52</v>
      </c>
    </row>
    <row r="14" spans="1:12" x14ac:dyDescent="0.4">
      <c r="A14" s="1" t="s">
        <v>13</v>
      </c>
      <c r="B14" s="1" t="s">
        <v>52</v>
      </c>
    </row>
    <row r="15" spans="1:12" x14ac:dyDescent="0.4">
      <c r="A15" s="1" t="s">
        <v>24</v>
      </c>
      <c r="B15" s="1" t="s">
        <v>52</v>
      </c>
    </row>
    <row r="16" spans="1:12" x14ac:dyDescent="0.4">
      <c r="A16" s="1" t="s">
        <v>25</v>
      </c>
      <c r="B16" s="1" t="s">
        <v>52</v>
      </c>
    </row>
    <row r="17" spans="1:2" x14ac:dyDescent="0.4">
      <c r="A17" s="1" t="s">
        <v>26</v>
      </c>
      <c r="B17" s="1" t="s">
        <v>52</v>
      </c>
    </row>
    <row r="18" spans="1:2" x14ac:dyDescent="0.4">
      <c r="A18" s="1" t="s">
        <v>16</v>
      </c>
      <c r="B18" s="1" t="s">
        <v>16</v>
      </c>
    </row>
  </sheetData>
  <sortState xmlns:xlrd2="http://schemas.microsoft.com/office/spreadsheetml/2017/richdata2" ref="A4:B18">
    <sortCondition descending="1" ref="B4:B1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對應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julian.weng (翁明皓)</dc:creator>
  <cp:keywords/>
  <dc:description/>
  <cp:lastModifiedBy>Itzel.Hsiao  (蕭意臻)</cp:lastModifiedBy>
  <cp:revision/>
  <dcterms:created xsi:type="dcterms:W3CDTF">2026-03-26T06:03:40Z</dcterms:created>
  <dcterms:modified xsi:type="dcterms:W3CDTF">2026-05-14T07:55:00Z</dcterms:modified>
  <cp:category/>
  <cp:contentStatus/>
</cp:coreProperties>
</file>